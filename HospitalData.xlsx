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hospital emergency project\"/>
    </mc:Choice>
  </mc:AlternateContent>
  <xr:revisionPtr revIDLastSave="0" documentId="13_ncr:1_{37C09D49-4FB0-4CBB-B61B-23C3A6BE1B83}" xr6:coauthVersionLast="47" xr6:coauthVersionMax="47" xr10:uidLastSave="{00000000-0000-0000-0000-000000000000}"/>
  <bookViews>
    <workbookView xWindow="-120" yWindow="-120" windowWidth="20730" windowHeight="11160" xr2:uid="{D078424A-E4F5-4445-84F1-6DA5B1309EBC}"/>
  </bookViews>
  <sheets>
    <sheet name="Pivot Report" sheetId="1" r:id="rId1"/>
    <sheet name="Dashboard" sheetId="2" r:id="rId2"/>
    <sheet name="NO. of Patient" sheetId="3" r:id="rId3"/>
    <sheet name="Average Wait Time" sheetId="4" r:id="rId4"/>
    <sheet name="Patient Satisfaction Score" sheetId="5" r:id="rId5"/>
  </sheets>
  <definedNames>
    <definedName name="Slicer_Date__Month">#N/A</definedName>
    <definedName name="Slicer_Date__Year">#N/A</definedName>
    <definedName name="Slicer_Patient_Rac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s>
  <extLst>
    <ext xmlns:x14="http://schemas.microsoft.com/office/spreadsheetml/2009/9/main" uri="{876F7934-8845-4945-9796-88D515C7AA90}">
      <x14:pivotCaches>
        <pivotCache cacheId="13"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38f3af85-a878-42a4-97c9-36b328c03bd1" name="Hospital Emergency Room Data" connection="Query - Hospital Emergency Room Data"/>
          <x15:modelTable id="Calendar_Table_25232ffd-7a1a-4e93-b5d8-f0e3e1220d29"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47" i="1" l="1"/>
  <c r="B47" i="1"/>
  <c r="C47" i="1"/>
  <c r="B48" i="1"/>
  <c r="C48" i="1"/>
  <c r="A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22CE50-D17C-4C36-A1BB-057BE7081AD7}" name="Query - Calendar_Table" description="Connection to the 'Calendar_Table' query in the workbook." type="100" refreshedVersion="7" minRefreshableVersion="5">
    <extLst>
      <ext xmlns:x15="http://schemas.microsoft.com/office/spreadsheetml/2010/11/main" uri="{DE250136-89BD-433C-8126-D09CA5730AF9}">
        <x15:connection id="8bc41285-f337-4a19-8ad2-34a2bb4673e3"/>
      </ext>
    </extLst>
  </connection>
  <connection id="2" xr16:uid="{0E1B382A-A4FC-40A3-8BA8-6AFFAC9D27B5}"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70665a71-fbed-4d2a-ac96-4a8a6212b1ad"/>
      </ext>
    </extLst>
  </connection>
  <connection id="3" xr16:uid="{52CF56F2-4163-4EF6-9DF5-321BB69D132D}"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<sst xmlns="http://schemas.openxmlformats.org/spreadsheetml/2006/main" count="153" uniqueCount="77">
  <si>
    <t>Distinct Count of Patient Id</t>
  </si>
  <si>
    <t>No. Of Patient</t>
  </si>
  <si>
    <t>Grand Total</t>
  </si>
  <si>
    <t>Average of Patient Waittime</t>
  </si>
  <si>
    <t>Average of Patient Satisfaction Score</t>
  </si>
  <si>
    <t>Row Labels</t>
  </si>
  <si>
    <t>Count of Patient Admission Flag</t>
  </si>
  <si>
    <t>Admitted</t>
  </si>
  <si>
    <t>Not Admitted</t>
  </si>
  <si>
    <t>Count of Patient Admission Flag2</t>
  </si>
  <si>
    <t>Admission Status</t>
  </si>
  <si>
    <t>No. of Patient</t>
  </si>
  <si>
    <t>% Status</t>
  </si>
  <si>
    <t>0-9</t>
  </si>
  <si>
    <t>10-19</t>
  </si>
  <si>
    <t>20-29</t>
  </si>
  <si>
    <t>30-39</t>
  </si>
  <si>
    <t>40-49</t>
  </si>
  <si>
    <t>50-59</t>
  </si>
  <si>
    <t>60-69</t>
  </si>
  <si>
    <t>70-79</t>
  </si>
  <si>
    <t>Count of Age_Group</t>
  </si>
  <si>
    <t>Delay</t>
  </si>
  <si>
    <t>Ontime</t>
  </si>
  <si>
    <t>Count of Patient Attend Status</t>
  </si>
  <si>
    <t>Female</t>
  </si>
  <si>
    <t>Male</t>
  </si>
  <si>
    <t>Count of Patient Gender</t>
  </si>
  <si>
    <t>Cardiology</t>
  </si>
  <si>
    <t>Gastroenterology</t>
  </si>
  <si>
    <t>General Practice</t>
  </si>
  <si>
    <t>Neurology</t>
  </si>
  <si>
    <t>None</t>
  </si>
  <si>
    <t>Orthopedics</t>
  </si>
  <si>
    <t>Physiotherapy</t>
  </si>
  <si>
    <t>Renal</t>
  </si>
  <si>
    <t>Count of Department Referral</t>
  </si>
  <si>
    <t>2023</t>
  </si>
  <si>
    <t>2024</t>
  </si>
  <si>
    <t>African American</t>
  </si>
  <si>
    <t>Asian</t>
  </si>
  <si>
    <t>Declined to Identify</t>
  </si>
  <si>
    <t>Native American/Alaska Native</t>
  </si>
  <si>
    <t>Pacific Islander</t>
  </si>
  <si>
    <t>Two or More Races</t>
  </si>
  <si>
    <t>White</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</si>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</sst>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pivotButton="1"/>
    <xf numFmtId="2" fontId="0" fillId="0" borderId="0" xfId="0" applyNumberFormat="1"/>
    <xf numFmtId="0" fontId="0" fillId="2" borderId="0" xfId="0" applyFill="1"/>
    <xf numFmtId="0" fontId="0" fillId="2" borderId="0" xfId="0" applyFill="1" applyBorder="1"/>
    <xf numFmtId="0" fontId="0" fillId="0" borderId="0" xfId="0" applyNumberFormat="1" applyFont="1"/>
    <xf numFmtId="0" fontId="0" fillId="0" borderId="0" xfId="0" applyAlignment="1">
      <alignment horizontal="left"/>
    </xf>
    <xf numFmtId="2" fontId="0" fillId="0" borderId="0" xfId="0" applyNumberFormat="1" applyFont="1"/>
    <xf numFmtId="0" fontId="0" fillId="3" borderId="0" xfId="0" applyFill="1"/>
    <xf numFmtId="10" fontId="0" fillId="0" borderId="0" xfId="0" applyNumberFormat="1"/>
    <xf numFmtId="0" fontId="0" fillId="4" borderId="0" xfId="0" applyFill="1"/>
    <xf numFmtId="0" fontId="0" fillId="4" borderId="0" xfId="0" applyFill="1" applyAlignment="1">
      <alignment horizontal="center" vertical="center"/>
    </xf>
    <xf numFmtId="1" fontId="0" fillId="0" borderId="0" xfId="0" applyNumberFormat="1"/>
  </cellXfs>
  <cellStyles count="1">
    <cellStyle name="Normal" xfId="0" builtinId="0"/>
  </cellStyles>
  <dxfs count="24">
    <dxf>
      <numFmt numFmtId="2" formatCode="0.00"/>
    </dxf>
    <dxf>
      <numFmt numFmtId="1" formatCode="0"/>
    </dxf>
    <dxf>
      <numFmt numFmtId="14" formatCode="0.00%"/>
    </dxf>
    <dxf>
      <numFmt numFmtId="2" formatCode="0.00"/>
    </dxf>
    <dxf>
      <numFmt numFmtId="1" formatCode="0"/>
    </dxf>
    <dxf>
      <numFmt numFmtId="2" formatCode="0.00"/>
    </dxf>
    <dxf>
      <font>
        <sz val="11"/>
      </font>
    </dxf>
    <dxf>
      <numFmt numFmtId="1" formatCode="0"/>
    </dxf>
    <dxf>
      <numFmt numFmtId="1" formatCode="0"/>
    </dxf>
    <dxf>
      <numFmt numFmtId="1" formatCode="0"/>
    </dxf>
    <dxf>
      <numFmt numFmtId="2" formatCode="0.00"/>
    </dxf>
    <dxf>
      <font>
        <sz val="11"/>
      </font>
    </dxf>
    <dxf>
      <numFmt numFmtId="1" formatCode="0"/>
    </dxf>
    <dxf>
      <numFmt numFmtId="2" formatCode="0.00"/>
    </dxf>
    <dxf>
      <font>
        <sz val="11"/>
      </font>
    </dxf>
    <dxf>
      <font>
        <sz val="11"/>
      </font>
    </dxf>
    <dxf>
      <font>
        <b/>
        <color theme="1"/>
      </font>
      <border>
        <bottom style="thin">
          <color theme="4"/>
        </bottom>
        <vertical/>
        <horizontal/>
      </border>
    </dxf>
    <dxf>
      <font>
        <sz val="8"/>
        <color theme="1"/>
      </font>
      <fill>
        <patternFill>
          <bgColor theme="0" tint="-0.24994659260841701"/>
        </patternFill>
      </fill>
      <border>
        <left/>
        <right/>
        <top/>
        <bottom/>
        <vertical/>
        <horizontal/>
      </border>
    </dxf>
    <dxf>
      <font>
        <b/>
        <color theme="1"/>
      </font>
      <border>
        <bottom style="thin">
          <color theme="4"/>
        </bottom>
        <vertical/>
        <horizontal/>
      </border>
    </dxf>
    <dxf>
      <font>
        <color theme="1"/>
      </font>
      <fill>
        <patternFill>
          <bgColor theme="0" tint="-4.9989318521683403E-2"/>
        </patternFill>
      </fill>
      <border>
        <left/>
        <right/>
        <top/>
        <bottom/>
        <vertical/>
        <horizontal/>
      </border>
    </dxf>
    <dxf>
      <fill>
        <patternFill>
          <bgColor theme="0" tint="-0.34998626667073579"/>
        </patternFill>
      </fill>
      <border>
        <left style="thin">
          <color auto="1"/>
        </left>
        <right style="thin">
          <color auto="1"/>
        </right>
        <top style="thin">
          <color auto="1"/>
        </top>
        <bottom style="thin">
          <color auto="1"/>
        </bottom>
        <vertical style="thin">
          <color auto="1"/>
        </vertical>
      </border>
    </dxf>
    <dxf>
      <fill>
        <patternFill>
          <bgColor theme="2" tint="-0.24994659260841701"/>
        </patternFill>
      </fill>
    </dxf>
    <dxf>
      <fill>
        <patternFill>
          <bgColor theme="0" tint="-0.24994659260841701"/>
        </patternFill>
      </fill>
    </dxf>
    <dxf>
      <font>
        <sz val="8"/>
        <color theme="3" tint="0.39994506668294322"/>
      </font>
    </dxf>
  </dxfs>
  <tableStyles count="6" defaultTableStyle="TableStyleMedium2" defaultPivotStyle="PivotStyleLight16">
    <tableStyle name="my style" pivot="0" table="0" count="1" xr9:uid="{C7AF4C14-7209-49E0-9FB4-140BA5CAACF5}">
      <tableStyleElement type="wholeTable" dxfId="23"/>
    </tableStyle>
    <tableStyle name="Slicer Style 1" pivot="0" table="0" count="1" xr9:uid="{04A841A1-3C22-4995-A94C-415810F37A9B}">
      <tableStyleElement type="wholeTable" dxfId="22"/>
    </tableStyle>
    <tableStyle name="Slicer Style 2" pivot="0" table="0" count="1" xr9:uid="{94428098-510D-4E65-8436-A0C7818CA74C}">
      <tableStyleElement type="wholeTable" dxfId="21"/>
    </tableStyle>
    <tableStyle name="Slicer Style 3" pivot="0" table="0" count="1" xr9:uid="{F9DA5224-EE64-4824-8819-DCA72549140D}">
      <tableStyleElement type="wholeTable" dxfId="20"/>
    </tableStyle>
    <tableStyle name="SlicerStyleLight1 2" pivot="0" table="0" count="10" xr9:uid="{EF90A517-9C7A-497F-B488-CA2CF13931EE}">
      <tableStyleElement type="wholeTable" dxfId="19"/>
      <tableStyleElement type="headerRow" dxfId="18"/>
    </tableStyle>
    <tableStyle name="SlicerStyleLight1 2 2" pivot="0" table="0" count="10" xr9:uid="{78B718D2-1882-4808-A94B-C3AAA58C1A74}">
      <tableStyleElement type="wholeTable" dxfId="17"/>
      <tableStyleElement type="headerRow" dxfId="16"/>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 name="Slicer Style 1"/>
        <x14:slicerStyle name="Slicer Style 2"/>
        <x14:slicerStyle name="Slicer Style 3"/>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2.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3.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20" Type="http://schemas.microsoft.com/office/2007/relationships/slicerCache" Target="slicerCaches/slicerCache1.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[HospitalData.xlsx]Pivot Report!PivotTable7</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8C5F671-7D65-4C69-B9B2-03FD45E049C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9B38BB9-D5F6-4211-9168-712CE0B6DDD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pivotFmt>
      <c:pivotFmt>
        <c:idx val="5"/>
        <c:spPr>
          <a:solidFill>
            <a:schemeClr val="accent1"/>
          </a:solidFill>
          <a:ln>
            <a:noFill/>
          </a:ln>
          <a:effectLst/>
        </c:spPr>
      </c:pivotFmt>
    </c:pivotFmts>
    <c:plotArea>
      <c:layout/>
      <c:barChart>
        <c:barDir val="bar"/>
        <c:grouping val="clustered"/>
        <c:varyColors val="0"/>
        <c:ser>
          <c:idx val="0"/>
          <c:order val="0"/>
          <c:tx>
            <c:strRef>
              <c:f>'Pivot Report'!$B$39</c:f>
              <c:strCache>
                <c:ptCount val="1"/>
                <c:pt idx="0">
                  <c:v>Count of Patient Admission Flag</c:v>
                </c:pt>
              </c:strCache>
            </c:strRef>
          </c:tx>
          <c:spPr>
            <a:solidFill>
              <a:schemeClr val="accent1"/>
            </a:solidFill>
            <a:ln>
              <a:noFill/>
            </a:ln>
            <a:effectLst/>
          </c:spPr>
          <c:invertIfNegative val="0"/>
          <c:cat>
            <c:strRef>
              <c:f>'Pivot Report'!$A$40:$A$41</c:f>
              <c:strCache>
                <c:ptCount val="2"/>
                <c:pt idx="0">
                  <c:v>Admitted</c:v>
                </c:pt>
                <c:pt idx="1">
                  <c:v>Not Admitted</c:v>
                </c:pt>
              </c:strCache>
            </c:strRef>
          </c:cat>
          <c:val>
            <c:numRef>
              <c:f>'Pivot Report'!$B$40:$B$41</c:f>
              <c:numCache>
                <c:formatCode>0.00</c:formatCode>
                <c:ptCount val="2"/>
                <c:pt idx="0">
                  <c:v>269</c:v>
                </c:pt>
                <c:pt idx="1">
                  <c:v>244</c:v>
                </c:pt>
              </c:numCache>
            </c:numRef>
          </c:val>
          <c:extLst>
            <c:ext xmlns:c16="http://schemas.microsoft.com/office/drawing/2014/chart" uri="{C3380CC4-5D6E-409C-BE32-E72D297353CC}">
              <c16:uniqueId val="{00000000-2B22-4696-8ED0-7C848C4F1B9D}"/>
            </c:ext>
          </c:extLst>
        </c:ser>
        <c:ser>
          <c:idx val="1"/>
          <c:order val="1"/>
          <c:tx>
            <c:strRef>
              <c:f>'Pivot Report'!$C$39</c:f>
              <c:strCache>
                <c:ptCount val="1"/>
                <c:pt idx="0">
                  <c:v>Count of Patient Admission Flag2</c:v>
                </c:pt>
              </c:strCache>
            </c:strRef>
          </c:tx>
          <c:spPr>
            <a:solidFill>
              <a:schemeClr val="accent2"/>
            </a:solidFill>
            <a:ln>
              <a:noFill/>
            </a:ln>
            <a:effectLst/>
          </c:spPr>
          <c:invertIfNegative val="0"/>
          <c:cat>
            <c:strRef>
              <c:f>'Pivot Report'!$A$40:$A$41</c:f>
              <c:strCache>
                <c:ptCount val="2"/>
                <c:pt idx="0">
                  <c:v>Admitted</c:v>
                </c:pt>
                <c:pt idx="1">
                  <c:v>Not Admitted</c:v>
                </c:pt>
              </c:strCache>
            </c:strRef>
          </c:cat>
          <c:val>
            <c:numRef>
              <c:f>'Pivot Report'!$C$40:$C$41</c:f>
              <c:numCache>
                <c:formatCode>0.00%</c:formatCode>
                <c:ptCount val="2"/>
                <c:pt idx="0">
                  <c:v>0.52436647173489281</c:v>
                </c:pt>
                <c:pt idx="1">
                  <c:v>0.47563352826510719</c:v>
                </c:pt>
              </c:numCache>
            </c:numRef>
          </c:val>
          <c:extLst>
            <c:ext xmlns:c16="http://schemas.microsoft.com/office/drawing/2014/chart" uri="{C3380CC4-5D6E-409C-BE32-E72D297353CC}">
              <c16:uniqueId val="{00000002-7762-4623-B555-015699D54F3D}"/>
            </c:ext>
          </c:extLst>
        </c:ser>
        <c:dLbls>
          <c:showLegendKey val="0"/>
          <c:showVal val="0"/>
          <c:showCatName val="0"/>
          <c:showSerName val="0"/>
          <c:showPercent val="0"/>
          <c:showBubbleSize val="0"/>
        </c:dLbls>
        <c:gapWidth val="97"/>
        <c:axId val="2101499775"/>
        <c:axId val="2101499359"/>
      </c:barChart>
      <c:catAx>
        <c:axId val="2101499775"/>
        <c:scaling>
          <c:orientation val="minMax"/>
        </c:scaling>
        <c:delete val="1"/>
        <c:axPos val="l"/>
        <c:numFmt formatCode="General" sourceLinked="1"/>
        <c:majorTickMark val="none"/>
        <c:minorTickMark val="none"/>
        <c:tickLblPos val="nextTo"/>
        <c:crossAx val="2101499359"/>
        <c:crosses val="autoZero"/>
        <c:auto val="1"/>
        <c:lblAlgn val="ctr"/>
        <c:lblOffset val="100"/>
        <c:noMultiLvlLbl val="0"/>
      </c:catAx>
      <c:valAx>
        <c:axId val="2101499359"/>
        <c:scaling>
          <c:orientation val="minMax"/>
        </c:scaling>
        <c:delete val="1"/>
        <c:axPos val="b"/>
        <c:numFmt formatCode="0.00" sourceLinked="1"/>
        <c:majorTickMark val="none"/>
        <c:minorTickMark val="none"/>
        <c:tickLblPos val="nextTo"/>
        <c:crossAx val="2101499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[HospitalData.xlsx]Pivot Report!PivotTable4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Report'!$D$4</c:f>
              <c:strCache>
                <c:ptCount val="1"/>
                <c:pt idx="0">
                  <c:v>Total</c:v>
                </c:pt>
              </c:strCache>
            </c:strRef>
          </c:tx>
          <c:spPr>
            <a:solidFill>
              <a:schemeClr val="accent1"/>
            </a:solidFill>
            <a:ln>
              <a:noFill/>
            </a:ln>
            <a:effectLst/>
          </c:spPr>
          <c:cat>
            <c:strRef>
              <c:f>'Pivot Report'!$C$5:$C$36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Report'!$D$5:$D$36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AC10-438E-A2A1-21F59010CC1E}"/>
            </c:ext>
          </c:extLst>
        </c:ser>
        <c:dLbls>
          <c:showLegendKey val="0"/>
          <c:showVal val="0"/>
          <c:showCatName val="0"/>
          <c:showSerName val="0"/>
          <c:showPercent val="0"/>
          <c:showBubbleSize val="0"/>
        </c:dLbls>
        <c:axId val="1211716495"/>
        <c:axId val="1211716911"/>
      </c:areaChart>
      <c:catAx>
        <c:axId val="1211716495"/>
        <c:scaling>
          <c:orientation val="minMax"/>
        </c:scaling>
        <c:delete val="1"/>
        <c:axPos val="b"/>
        <c:numFmt formatCode="General" sourceLinked="1"/>
        <c:majorTickMark val="out"/>
        <c:minorTickMark val="none"/>
        <c:tickLblPos val="nextTo"/>
        <c:crossAx val="1211716911"/>
        <c:crosses val="autoZero"/>
        <c:auto val="1"/>
        <c:lblAlgn val="ctr"/>
        <c:lblOffset val="100"/>
        <c:noMultiLvlLbl val="0"/>
      </c:catAx>
      <c:valAx>
        <c:axId val="1211716911"/>
        <c:scaling>
          <c:orientation val="minMax"/>
        </c:scaling>
        <c:delete val="1"/>
        <c:axPos val="l"/>
        <c:numFmt formatCode="General" sourceLinked="1"/>
        <c:majorTickMark val="none"/>
        <c:minorTickMark val="none"/>
        <c:tickLblPos val="nextTo"/>
        <c:crossAx val="121171649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[HospitalData.xlsx]Pivot Report!PivotTable5</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828234919580195E-2"/>
          <c:y val="2.8418797753782996E-3"/>
          <c:w val="0.92671823615506388"/>
          <c:h val="0.85131393564517754"/>
        </c:manualLayout>
      </c:layout>
      <c:areaChart>
        <c:grouping val="standard"/>
        <c:varyColors val="0"/>
        <c:ser>
          <c:idx val="0"/>
          <c:order val="0"/>
          <c:tx>
            <c:strRef>
              <c:f>'Pivot Report'!$G$4</c:f>
              <c:strCache>
                <c:ptCount val="1"/>
                <c:pt idx="0">
                  <c:v>Total</c:v>
                </c:pt>
              </c:strCache>
            </c:strRef>
          </c:tx>
          <c:spPr>
            <a:solidFill>
              <a:schemeClr val="accent6">
                <a:lumMod val="75000"/>
              </a:schemeClr>
            </a:solidFill>
            <a:ln>
              <a:noFill/>
            </a:ln>
            <a:effectLst>
              <a:outerShdw blurRad="57150" dist="19050" dir="5400000" algn="ctr" rotWithShape="0">
                <a:srgbClr val="000000">
                  <a:alpha val="63000"/>
                </a:srgbClr>
              </a:outerShdw>
            </a:effectLst>
          </c:spPr>
          <c:cat>
            <c:strRef>
              <c:f>'Pivot Report'!$F$5:$F$36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Report'!$G$5:$G$36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941D-4870-85A8-B18B5EEADD8F}"/>
            </c:ext>
          </c:extLst>
        </c:ser>
        <c:dLbls>
          <c:showLegendKey val="0"/>
          <c:showVal val="0"/>
          <c:showCatName val="0"/>
          <c:showSerName val="0"/>
          <c:showPercent val="0"/>
          <c:showBubbleSize val="0"/>
        </c:dLbls>
        <c:axId val="2093953199"/>
        <c:axId val="2093950703"/>
      </c:areaChart>
      <c:catAx>
        <c:axId val="2093953199"/>
        <c:scaling>
          <c:orientation val="minMax"/>
        </c:scaling>
        <c:delete val="1"/>
        <c:axPos val="b"/>
        <c:numFmt formatCode="General" sourceLinked="1"/>
        <c:majorTickMark val="out"/>
        <c:minorTickMark val="none"/>
        <c:tickLblPos val="nextTo"/>
        <c:crossAx val="2093950703"/>
        <c:crosses val="autoZero"/>
        <c:auto val="1"/>
        <c:lblAlgn val="ctr"/>
        <c:lblOffset val="100"/>
        <c:noMultiLvlLbl val="0"/>
      </c:catAx>
      <c:valAx>
        <c:axId val="2093950703"/>
        <c:scaling>
          <c:orientation val="minMax"/>
        </c:scaling>
        <c:delete val="1"/>
        <c:axPos val="l"/>
        <c:numFmt formatCode="0.00" sourceLinked="1"/>
        <c:majorTickMark val="none"/>
        <c:minorTickMark val="none"/>
        <c:tickLblPos val="nextTo"/>
        <c:crossAx val="209395319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[HospitalData.xlsx]Pivot Report!PivotTable6</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391043888884405E-2"/>
          <c:y val="2.8114526387041275E-2"/>
          <c:w val="0.9710158484758068"/>
          <c:h val="0.94147834149069853"/>
        </c:manualLayout>
      </c:layout>
      <c:areaChart>
        <c:grouping val="standard"/>
        <c:varyColors val="0"/>
        <c:ser>
          <c:idx val="0"/>
          <c:order val="0"/>
          <c:tx>
            <c:strRef>
              <c:f>'Pivot Report'!$J$4</c:f>
              <c:strCache>
                <c:ptCount val="1"/>
                <c:pt idx="0">
                  <c:v>Total</c:v>
                </c:pt>
              </c:strCache>
            </c:strRef>
          </c:tx>
          <c:spPr>
            <a:solidFill>
              <a:schemeClr val="accent1"/>
            </a:solidFill>
            <a:ln>
              <a:noFill/>
            </a:ln>
            <a:effectLst/>
          </c:spPr>
          <c:cat>
            <c:strRef>
              <c:f>'Pivot Report'!$I$5:$I$36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Report'!$J$5:$J$36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CC82-403D-9A25-9D948D3C1CFB}"/>
            </c:ext>
          </c:extLst>
        </c:ser>
        <c:dLbls>
          <c:showLegendKey val="0"/>
          <c:showVal val="0"/>
          <c:showCatName val="0"/>
          <c:showSerName val="0"/>
          <c:showPercent val="0"/>
          <c:showBubbleSize val="0"/>
        </c:dLbls>
        <c:axId val="1351023151"/>
        <c:axId val="1351026895"/>
      </c:areaChart>
      <c:catAx>
        <c:axId val="1351023151"/>
        <c:scaling>
          <c:orientation val="minMax"/>
        </c:scaling>
        <c:delete val="1"/>
        <c:axPos val="b"/>
        <c:numFmt formatCode="General" sourceLinked="1"/>
        <c:majorTickMark val="out"/>
        <c:minorTickMark val="none"/>
        <c:tickLblPos val="nextTo"/>
        <c:crossAx val="1351026895"/>
        <c:crosses val="autoZero"/>
        <c:auto val="1"/>
        <c:lblAlgn val="ctr"/>
        <c:lblOffset val="100"/>
        <c:noMultiLvlLbl val="0"/>
      </c:catAx>
      <c:valAx>
        <c:axId val="1351026895"/>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35102315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[HospitalData.xlsx]Pivot Report!PivotTable8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26984560709714E-2"/>
          <c:y val="0.17006920519082799"/>
          <c:w val="0.90746030878580575"/>
          <c:h val="0.69388558955554358"/>
        </c:manualLayout>
      </c:layout>
      <c:barChart>
        <c:barDir val="col"/>
        <c:grouping val="clustered"/>
        <c:varyColors val="0"/>
        <c:ser>
          <c:idx val="0"/>
          <c:order val="0"/>
          <c:tx>
            <c:strRef>
              <c:f>'Pivot Report'!$B$51</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Report'!$A$52:$A$59</c:f>
              <c:strCache>
                <c:ptCount val="8"/>
                <c:pt idx="0">
                  <c:v>0-9</c:v>
                </c:pt>
                <c:pt idx="1">
                  <c:v>10-19</c:v>
                </c:pt>
                <c:pt idx="2">
                  <c:v>20-29</c:v>
                </c:pt>
                <c:pt idx="3">
                  <c:v>30-39</c:v>
                </c:pt>
                <c:pt idx="4">
                  <c:v>40-49</c:v>
                </c:pt>
                <c:pt idx="5">
                  <c:v>50-59</c:v>
                </c:pt>
                <c:pt idx="6">
                  <c:v>60-69</c:v>
                </c:pt>
                <c:pt idx="7">
                  <c:v>70-79</c:v>
                </c:pt>
              </c:strCache>
            </c:strRef>
          </c:cat>
          <c:val>
            <c:numRef>
              <c:f>'Pivot Report'!$B$52:$B$59</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0-29B3-44F6-B376-9FBDAC0D2109}"/>
            </c:ext>
          </c:extLst>
        </c:ser>
        <c:dLbls>
          <c:showLegendKey val="0"/>
          <c:showVal val="0"/>
          <c:showCatName val="0"/>
          <c:showSerName val="0"/>
          <c:showPercent val="0"/>
          <c:showBubbleSize val="0"/>
        </c:dLbls>
        <c:gapWidth val="219"/>
        <c:overlap val="-27"/>
        <c:axId val="2141819424"/>
        <c:axId val="2141829408"/>
      </c:barChart>
      <c:catAx>
        <c:axId val="214181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829408"/>
        <c:crosses val="autoZero"/>
        <c:auto val="1"/>
        <c:lblAlgn val="ctr"/>
        <c:lblOffset val="100"/>
        <c:noMultiLvlLbl val="0"/>
      </c:catAx>
      <c:valAx>
        <c:axId val="2141829408"/>
        <c:scaling>
          <c:orientation val="minMax"/>
        </c:scaling>
        <c:delete val="1"/>
        <c:axPos val="l"/>
        <c:numFmt formatCode="0" sourceLinked="1"/>
        <c:majorTickMark val="none"/>
        <c:minorTickMark val="none"/>
        <c:tickLblPos val="nextTo"/>
        <c:crossAx val="2141819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[HospitalData.xlsx]Pivot Report!PivotTable9</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w="19050">
            <a:noFill/>
          </a:ln>
          <a:effectLst/>
        </c:spPr>
      </c:pivotFmt>
      <c:pivotFmt>
        <c:idx val="6"/>
        <c:spPr>
          <a:solidFill>
            <a:schemeClr val="accent5">
              <a:lumMod val="75000"/>
            </a:schemeClr>
          </a:solidFill>
          <a:ln w="19050">
            <a:noFill/>
          </a:ln>
          <a:effectLst/>
        </c:spPr>
      </c:pivotFmt>
    </c:pivotFmts>
    <c:plotArea>
      <c:layout>
        <c:manualLayout>
          <c:layoutTarget val="inner"/>
          <c:xMode val="edge"/>
          <c:yMode val="edge"/>
          <c:x val="0.1662303634732348"/>
          <c:y val="8.6029269779968498E-2"/>
          <c:w val="0.52628659469009398"/>
          <c:h val="0.88324630433183793"/>
        </c:manualLayout>
      </c:layout>
      <c:pieChart>
        <c:varyColors val="1"/>
        <c:ser>
          <c:idx val="0"/>
          <c:order val="0"/>
          <c:tx>
            <c:strRef>
              <c:f>'Pivot Report'!$E$51</c:f>
              <c:strCache>
                <c:ptCount val="1"/>
                <c:pt idx="0">
                  <c:v>Total</c:v>
                </c:pt>
              </c:strCache>
            </c:strRef>
          </c:tx>
          <c:spPr>
            <a:ln>
              <a:noFill/>
            </a:ln>
          </c:spPr>
          <c:dPt>
            <c:idx val="0"/>
            <c:bubble3D val="0"/>
            <c:spPr>
              <a:solidFill>
                <a:schemeClr val="accent6">
                  <a:lumMod val="75000"/>
                </a:schemeClr>
              </a:solidFill>
              <a:ln w="19050">
                <a:noFill/>
              </a:ln>
              <a:effectLst/>
            </c:spPr>
            <c:extLst>
              <c:ext xmlns:c16="http://schemas.microsoft.com/office/drawing/2014/chart" uri="{C3380CC4-5D6E-409C-BE32-E72D297353CC}">
                <c16:uniqueId val="{00000001-A6C5-40F0-B9C8-E1D358031148}"/>
              </c:ext>
            </c:extLst>
          </c:dPt>
          <c:dPt>
            <c:idx val="1"/>
            <c:bubble3D val="0"/>
            <c:spPr>
              <a:solidFill>
                <a:schemeClr val="accent5">
                  <a:lumMod val="75000"/>
                </a:schemeClr>
              </a:solidFill>
              <a:ln w="19050">
                <a:noFill/>
              </a:ln>
              <a:effectLst/>
            </c:spPr>
            <c:extLst>
              <c:ext xmlns:c16="http://schemas.microsoft.com/office/drawing/2014/chart" uri="{C3380CC4-5D6E-409C-BE32-E72D297353CC}">
                <c16:uniqueId val="{00000003-A6C5-40F0-B9C8-E1D358031148}"/>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Report'!$D$52:$D$53</c:f>
              <c:strCache>
                <c:ptCount val="2"/>
                <c:pt idx="0">
                  <c:v>Delay</c:v>
                </c:pt>
                <c:pt idx="1">
                  <c:v>Ontime</c:v>
                </c:pt>
              </c:strCache>
            </c:strRef>
          </c:cat>
          <c:val>
            <c:numRef>
              <c:f>'Pivot Report'!$E$52:$E$53</c:f>
              <c:numCache>
                <c:formatCode>0</c:formatCode>
                <c:ptCount val="2"/>
                <c:pt idx="0">
                  <c:v>316</c:v>
                </c:pt>
                <c:pt idx="1">
                  <c:v>197</c:v>
                </c:pt>
              </c:numCache>
            </c:numRef>
          </c:val>
          <c:extLst>
            <c:ext xmlns:c16="http://schemas.microsoft.com/office/drawing/2014/chart" uri="{C3380CC4-5D6E-409C-BE32-E72D297353CC}">
              <c16:uniqueId val="{00000004-A6C5-40F0-B9C8-E1D35803114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3587934506085562"/>
          <c:y val="0.39046750343005232"/>
          <c:w val="0.15270562605371427"/>
          <c:h val="0.207392884653348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[HospitalData.xlsx]Pivot Report!PivotTable10</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tx1">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tx1">
                <a:lumMod val="50000"/>
                <a:lumOff val="50000"/>
              </a:schemeClr>
            </a:solidFill>
          </a:ln>
          <a:effectLst/>
        </c:spPr>
        <c:dLbl>
          <c:idx val="0"/>
          <c:layout>
            <c:manualLayout>
              <c:x val="0.11648348288671141"/>
              <c:y val="-5.46592557979390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w="19050">
            <a:solidFill>
              <a:schemeClr val="tx1">
                <a:lumMod val="50000"/>
                <a:lumOff val="50000"/>
              </a:schemeClr>
            </a:solidFill>
          </a:ln>
          <a:effectLst/>
        </c:spPr>
        <c:dLbl>
          <c:idx val="0"/>
          <c:layout>
            <c:manualLayout>
              <c:x val="-6.5338104199981692E-2"/>
              <c:y val="-0.288913209217677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827827628903799E-2"/>
          <c:y val="0.24206241853373012"/>
          <c:w val="0.72396043841814817"/>
          <c:h val="0.72795983866604363"/>
        </c:manualLayout>
      </c:layout>
      <c:doughnutChart>
        <c:varyColors val="1"/>
        <c:ser>
          <c:idx val="0"/>
          <c:order val="0"/>
          <c:tx>
            <c:strRef>
              <c:f>'Pivot Report'!$E$56</c:f>
              <c:strCache>
                <c:ptCount val="1"/>
                <c:pt idx="0">
                  <c:v>Total</c:v>
                </c:pt>
              </c:strCache>
            </c:strRef>
          </c:tx>
          <c:spPr>
            <a:ln>
              <a:solidFill>
                <a:schemeClr val="tx1">
                  <a:lumMod val="50000"/>
                  <a:lumOff val="50000"/>
                </a:schemeClr>
              </a:solidFill>
            </a:ln>
          </c:spPr>
          <c:dPt>
            <c:idx val="0"/>
            <c:bubble3D val="0"/>
            <c:spPr>
              <a:solidFill>
                <a:schemeClr val="accent1"/>
              </a:solidFill>
              <a:ln w="19050">
                <a:solidFill>
                  <a:schemeClr val="tx1">
                    <a:lumMod val="50000"/>
                    <a:lumOff val="50000"/>
                  </a:schemeClr>
                </a:solidFill>
              </a:ln>
              <a:effectLst/>
            </c:spPr>
            <c:extLst>
              <c:ext xmlns:c16="http://schemas.microsoft.com/office/drawing/2014/chart" uri="{C3380CC4-5D6E-409C-BE32-E72D297353CC}">
                <c16:uniqueId val="{00000001-375E-439D-903C-9916541FF273}"/>
              </c:ext>
            </c:extLst>
          </c:dPt>
          <c:dPt>
            <c:idx val="1"/>
            <c:bubble3D val="0"/>
            <c:spPr>
              <a:solidFill>
                <a:schemeClr val="accent2">
                  <a:lumMod val="50000"/>
                </a:schemeClr>
              </a:solidFill>
              <a:ln w="19050">
                <a:solidFill>
                  <a:schemeClr val="tx1">
                    <a:lumMod val="50000"/>
                    <a:lumOff val="50000"/>
                  </a:schemeClr>
                </a:solidFill>
              </a:ln>
              <a:effectLst/>
            </c:spPr>
            <c:extLst>
              <c:ext xmlns:c16="http://schemas.microsoft.com/office/drawing/2014/chart" uri="{C3380CC4-5D6E-409C-BE32-E72D297353CC}">
                <c16:uniqueId val="{00000003-375E-439D-903C-9916541FF273}"/>
              </c:ext>
            </c:extLst>
          </c:dPt>
          <c:dLbls>
            <c:dLbl>
              <c:idx val="0"/>
              <c:layout>
                <c:manualLayout>
                  <c:x val="0.11648348288671141"/>
                  <c:y val="-5.46592557979390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75E-439D-903C-9916541FF273}"/>
                </c:ext>
              </c:extLst>
            </c:dLbl>
            <c:dLbl>
              <c:idx val="1"/>
              <c:layout>
                <c:manualLayout>
                  <c:x val="-6.5338104199981692E-2"/>
                  <c:y val="-0.288913209217677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5E-439D-903C-9916541FF27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Report'!$D$57:$D$58</c:f>
              <c:strCache>
                <c:ptCount val="2"/>
                <c:pt idx="0">
                  <c:v>Female</c:v>
                </c:pt>
                <c:pt idx="1">
                  <c:v>Male</c:v>
                </c:pt>
              </c:strCache>
            </c:strRef>
          </c:cat>
          <c:val>
            <c:numRef>
              <c:f>'Pivot Report'!$E$57:$E$58</c:f>
              <c:numCache>
                <c:formatCode>0</c:formatCode>
                <c:ptCount val="2"/>
                <c:pt idx="0">
                  <c:v>241</c:v>
                </c:pt>
                <c:pt idx="1">
                  <c:v>272</c:v>
                </c:pt>
              </c:numCache>
            </c:numRef>
          </c:val>
          <c:extLst>
            <c:ext xmlns:c16="http://schemas.microsoft.com/office/drawing/2014/chart" uri="{C3380CC4-5D6E-409C-BE32-E72D297353CC}">
              <c16:uniqueId val="{00000004-375E-439D-903C-9916541FF273}"/>
            </c:ext>
          </c:extLst>
        </c:ser>
        <c:dLbls>
          <c:showLegendKey val="0"/>
          <c:showVal val="0"/>
          <c:showCatName val="0"/>
          <c:showSerName val="0"/>
          <c:showPercent val="0"/>
          <c:showBubbleSize val="0"/>
          <c:showLeaderLines val="0"/>
        </c:dLbls>
        <c:firstSliceAng val="0"/>
        <c:holeSize val="61"/>
      </c:doughnutChart>
      <c:spPr>
        <a:noFill/>
        <a:ln>
          <a:noFill/>
        </a:ln>
        <a:effectLst/>
      </c:spPr>
    </c:plotArea>
    <c:legend>
      <c:legendPos val="r"/>
      <c:layout>
        <c:manualLayout>
          <c:xMode val="edge"/>
          <c:yMode val="edge"/>
          <c:x val="0.66103237329418396"/>
          <c:y val="1.2333685841469679E-3"/>
          <c:w val="0.33039852026231714"/>
          <c:h val="0.263537542116524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[HospitalData.xlsx]Pivot Report!PivotTable11</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312475369477775"/>
          <c:y val="0.12835413613623731"/>
          <c:w val="0.70687524630522225"/>
          <c:h val="0.86137753297286368"/>
        </c:manualLayout>
      </c:layout>
      <c:barChart>
        <c:barDir val="bar"/>
        <c:grouping val="clustered"/>
        <c:varyColors val="0"/>
        <c:ser>
          <c:idx val="0"/>
          <c:order val="0"/>
          <c:tx>
            <c:strRef>
              <c:f>'Pivot Report'!$E$61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Report'!$D$62:$D$69</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Report'!$E$62:$E$69</c:f>
              <c:numCache>
                <c:formatCode>0</c:formatCode>
                <c:ptCount val="8"/>
                <c:pt idx="0">
                  <c:v>14</c:v>
                </c:pt>
                <c:pt idx="1">
                  <c:v>4</c:v>
                </c:pt>
                <c:pt idx="2">
                  <c:v>103</c:v>
                </c:pt>
                <c:pt idx="3">
                  <c:v>9</c:v>
                </c:pt>
                <c:pt idx="4">
                  <c:v>299</c:v>
                </c:pt>
                <c:pt idx="5">
                  <c:v>65</c:v>
                </c:pt>
                <c:pt idx="6">
                  <c:v>14</c:v>
                </c:pt>
                <c:pt idx="7">
                  <c:v>5</c:v>
                </c:pt>
              </c:numCache>
            </c:numRef>
          </c:val>
          <c:extLst>
            <c:ext xmlns:c16="http://schemas.microsoft.com/office/drawing/2014/chart" uri="{C3380CC4-5D6E-409C-BE32-E72D297353CC}">
              <c16:uniqueId val="{00000000-045C-4EF6-8B3E-6ADB150590EB}"/>
            </c:ext>
          </c:extLst>
        </c:ser>
        <c:dLbls>
          <c:showLegendKey val="0"/>
          <c:showVal val="0"/>
          <c:showCatName val="0"/>
          <c:showSerName val="0"/>
          <c:showPercent val="0"/>
          <c:showBubbleSize val="0"/>
        </c:dLbls>
        <c:gapWidth val="182"/>
        <c:axId val="602616048"/>
        <c:axId val="602635184"/>
      </c:barChart>
      <c:catAx>
        <c:axId val="60261604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02635184"/>
        <c:crosses val="autoZero"/>
        <c:auto val="1"/>
        <c:lblAlgn val="ctr"/>
        <c:lblOffset val="100"/>
        <c:noMultiLvlLbl val="0"/>
      </c:catAx>
      <c:valAx>
        <c:axId val="602635184"/>
        <c:scaling>
          <c:orientation val="minMax"/>
        </c:scaling>
        <c:delete val="1"/>
        <c:axPos val="b"/>
        <c:numFmt formatCode="0" sourceLinked="1"/>
        <c:majorTickMark val="none"/>
        <c:minorTickMark val="none"/>
        <c:tickLblPos val="nextTo"/>
        <c:crossAx val="602616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[HospitalData.xlsx]Pivot Report!PivotTable4</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388241469816272E-2"/>
          <c:y val="1.1670319001737452E-2"/>
          <c:w val="0.96847048118985124"/>
          <c:h val="0.87702401351919146"/>
        </c:manualLayout>
      </c:layout>
      <c:lineChart>
        <c:grouping val="standard"/>
        <c:varyColors val="0"/>
        <c:ser>
          <c:idx val="0"/>
          <c:order val="0"/>
          <c:tx>
            <c:strRef>
              <c:f>'Pivot Report'!$D$4</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Report'!$C$5:$C$36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Report'!$D$5:$D$36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smooth val="0"/>
          <c:extLst>
            <c:ext xmlns:c16="http://schemas.microsoft.com/office/drawing/2014/chart" uri="{C3380CC4-5D6E-409C-BE32-E72D297353CC}">
              <c16:uniqueId val="{00000002-B541-49DA-A0C8-6F3B5A7B2BC5}"/>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211716495"/>
        <c:axId val="1211716911"/>
      </c:lineChart>
      <c:catAx>
        <c:axId val="121171649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211716911"/>
        <c:crosses val="autoZero"/>
        <c:auto val="1"/>
        <c:lblAlgn val="ctr"/>
        <c:lblOffset val="100"/>
        <c:noMultiLvlLbl val="0"/>
      </c:catAx>
      <c:valAx>
        <c:axId val="1211716911"/>
        <c:scaling>
          <c:orientation val="minMax"/>
        </c:scaling>
        <c:delete val="1"/>
        <c:axPos val="l"/>
        <c:numFmt formatCode="General" sourceLinked="1"/>
        <c:majorTickMark val="none"/>
        <c:minorTickMark val="none"/>
        <c:tickLblPos val="nextTo"/>
        <c:crossAx val="1211716495"/>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[HospitalData.xlsx]Pivot Report!PivotTable5</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976655674693121E-2"/>
          <c:y val="3.3107599699021821E-2"/>
          <c:w val="0.94560357401255379"/>
          <c:h val="0.85131393564517754"/>
        </c:manualLayout>
      </c:layout>
      <c:areaChart>
        <c:grouping val="standard"/>
        <c:varyColors val="0"/>
        <c:ser>
          <c:idx val="0"/>
          <c:order val="0"/>
          <c:tx>
            <c:strRef>
              <c:f>'Pivot Report'!$G$4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Report'!$F$5:$F$36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Report'!$G$5:$G$36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4B15-44EC-936C-291E6FA1333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93953199"/>
        <c:axId val="2093950703"/>
      </c:areaChart>
      <c:catAx>
        <c:axId val="209395319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93950703"/>
        <c:crosses val="autoZero"/>
        <c:auto val="1"/>
        <c:lblAlgn val="ctr"/>
        <c:lblOffset val="100"/>
        <c:noMultiLvlLbl val="0"/>
      </c:catAx>
      <c:valAx>
        <c:axId val="2093950703"/>
        <c:scaling>
          <c:orientation val="minMax"/>
        </c:scaling>
        <c:delete val="1"/>
        <c:axPos val="l"/>
        <c:numFmt formatCode="0.00" sourceLinked="1"/>
        <c:majorTickMark val="out"/>
        <c:minorTickMark val="none"/>
        <c:tickLblPos val="nextTo"/>
        <c:crossAx val="209395319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[HospitalData.xlsx]Pivot Report!PivotTable6</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726434195725535E-2"/>
          <c:y val="5.5973567463359124E-2"/>
          <c:w val="0.9300496437945257"/>
          <c:h val="0.79431189464148855"/>
        </c:manualLayout>
      </c:layout>
      <c:areaChart>
        <c:grouping val="standard"/>
        <c:varyColors val="0"/>
        <c:ser>
          <c:idx val="0"/>
          <c:order val="0"/>
          <c:tx>
            <c:strRef>
              <c:f>'Pivot Report'!$J$4</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'Pivot Report'!$I$5:$I$36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Report'!$J$5:$J$36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DA70-4E48-BFA3-35883E0D5FC6}"/>
            </c:ext>
          </c:extLst>
        </c:ser>
        <c:dLbls>
          <c:showLegendKey val="0"/>
          <c:showVal val="0"/>
          <c:showCatName val="0"/>
          <c:showSerName val="0"/>
          <c:showPercent val="0"/>
          <c:showBubbleSize val="0"/>
        </c:dLbls>
        <c:axId val="1351023151"/>
        <c:axId val="1351026895"/>
      </c:areaChart>
      <c:catAx>
        <c:axId val="135102315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351026895"/>
        <c:crosses val="autoZero"/>
        <c:auto val="1"/>
        <c:lblAlgn val="ctr"/>
        <c:lblOffset val="100"/>
        <c:noMultiLvlLbl val="0"/>
      </c:catAx>
      <c:valAx>
        <c:axId val="1351026895"/>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5102315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4.emf"/><Relationship Id="rId18" Type="http://schemas.openxmlformats.org/officeDocument/2006/relationships/chart" Target="../charts/chart8.xml"/><Relationship Id="rId3" Type="http://schemas.openxmlformats.org/officeDocument/2006/relationships/image" Target="../media/image2.png"/><Relationship Id="rId7" Type="http://schemas.openxmlformats.org/officeDocument/2006/relationships/hyperlink" Target="#'NO. of Patient'!A1"/><Relationship Id="rId12" Type="http://schemas.openxmlformats.org/officeDocument/2006/relationships/chart" Target="../charts/chart4.xml"/><Relationship Id="rId17" Type="http://schemas.openxmlformats.org/officeDocument/2006/relationships/chart" Target="../charts/chart7.xml"/><Relationship Id="rId2" Type="http://schemas.microsoft.com/office/2007/relationships/hdphoto" Target="../media/hdphoto1.wdp"/><Relationship Id="rId16" Type="http://schemas.openxmlformats.org/officeDocument/2006/relationships/chart" Target="../charts/chart6.xml"/><Relationship Id="rId1" Type="http://schemas.openxmlformats.org/officeDocument/2006/relationships/image" Target="../media/image1.png"/><Relationship Id="rId6" Type="http://schemas.microsoft.com/office/2007/relationships/hdphoto" Target="../media/hdphoto3.wdp"/><Relationship Id="rId11" Type="http://schemas.openxmlformats.org/officeDocument/2006/relationships/hyperlink" Target="#'Patient Satisfaction Score'!A1"/><Relationship Id="rId5" Type="http://schemas.openxmlformats.org/officeDocument/2006/relationships/image" Target="../media/image3.png"/><Relationship Id="rId15" Type="http://schemas.openxmlformats.org/officeDocument/2006/relationships/chart" Target="../charts/chart5.xml"/><Relationship Id="rId10" Type="http://schemas.openxmlformats.org/officeDocument/2006/relationships/chart" Target="../charts/chart3.xml"/><Relationship Id="rId19" Type="http://schemas.openxmlformats.org/officeDocument/2006/relationships/image" Target="../media/image6.png"/><Relationship Id="rId4" Type="http://schemas.microsoft.com/office/2007/relationships/hdphoto" Target="../media/hdphoto2.wdp"/><Relationship Id="rId9" Type="http://schemas.openxmlformats.org/officeDocument/2006/relationships/hyperlink" Target="#'Average Wait Time'!A1"/><Relationship Id="rId14" Type="http://schemas.openxmlformats.org/officeDocument/2006/relationships/image" Target="../media/image5.jp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Dashboard!A1"/><Relationship Id="rId1" Type="http://schemas.openxmlformats.org/officeDocument/2006/relationships/chart" Target="../charts/chart9.xml"/><Relationship Id="rId4" Type="http://schemas.microsoft.com/office/2007/relationships/hdphoto" Target="../media/hdphoto4.wdp"/></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Dashboard!A1"/><Relationship Id="rId1" Type="http://schemas.openxmlformats.org/officeDocument/2006/relationships/chart" Target="../charts/chart10.xml"/><Relationship Id="rId4" Type="http://schemas.microsoft.com/office/2007/relationships/hdphoto" Target="../media/hdphoto4.wdp"/></Relationships>
</file>

<file path=xl/drawings/_rels/drawing5.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Dashboard!A1"/><Relationship Id="rId1" Type="http://schemas.openxmlformats.org/officeDocument/2006/relationships/chart" Target="../charts/chart11.xml"/><Relationship Id="rId4" Type="http://schemas.microsoft.com/office/2007/relationships/hdphoto" Target="../media/hdphoto4.wdp"/></Relationships>
</file>

<file path=xl/drawings/_rels/vmlDrawing1.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2</xdr:col>
      <xdr:colOff>1914525</xdr:colOff>
      <xdr:row>45</xdr:row>
      <xdr:rowOff>14287</xdr:rowOff>
    </xdr:from>
    <xdr:to>
      <xdr:col>3</xdr:col>
      <xdr:colOff>1276350</xdr:colOff>
      <xdr:row>49</xdr:row>
      <xdr:rowOff>9525</xdr:rowOff>
    </xdr:to>
    <xdr:graphicFrame macro="">
      <xdr:nvGraphicFramePr>
        <xdr:cNvPr id="7" name="Chart 6">
          <a:extLst>
            <a:ext uri="{FF2B5EF4-FFF2-40B4-BE49-F238E27FC236}">
              <a16:creationId xmlns:a16="http://schemas.microsoft.com/office/drawing/2014/main" id="{1B463F79-37AB-4448-8EDD-F196F9D1E8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403372</xdr:colOff>
      <xdr:row>0</xdr:row>
      <xdr:rowOff>116817</xdr:rowOff>
    </xdr:from>
    <xdr:to>
      <xdr:col>10</xdr:col>
      <xdr:colOff>585067</xdr:colOff>
      <xdr:row>7</xdr:row>
      <xdr:rowOff>1</xdr:rowOff>
    </xdr:to>
    <xdr:sp macro="" textlink="">
      <xdr:nvSpPr>
        <xdr:cNvPr id="7" name="Rectangle: Rounded Corners 6">
          <a:extLst>
            <a:ext uri="{FF2B5EF4-FFF2-40B4-BE49-F238E27FC236}">
              <a16:creationId xmlns:a16="http://schemas.microsoft.com/office/drawing/2014/main" id="{F5E5F582-C9E6-4221-8254-123006F72EE4}"/>
            </a:ext>
          </a:extLst>
        </xdr:cNvPr>
        <xdr:cNvSpPr/>
      </xdr:nvSpPr>
      <xdr:spPr>
        <a:xfrm>
          <a:off x="4680636" y="116817"/>
          <a:ext cx="2014808" cy="1204104"/>
        </a:xfrm>
        <a:prstGeom prst="round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43939</xdr:colOff>
      <xdr:row>0</xdr:row>
      <xdr:rowOff>107832</xdr:rowOff>
    </xdr:from>
    <xdr:to>
      <xdr:col>14</xdr:col>
      <xdr:colOff>225634</xdr:colOff>
      <xdr:row>6</xdr:row>
      <xdr:rowOff>179719</xdr:rowOff>
    </xdr:to>
    <xdr:sp macro="" textlink="">
      <xdr:nvSpPr>
        <xdr:cNvPr id="10" name="Rectangle: Rounded Corners 9">
          <a:extLst>
            <a:ext uri="{FF2B5EF4-FFF2-40B4-BE49-F238E27FC236}">
              <a16:creationId xmlns:a16="http://schemas.microsoft.com/office/drawing/2014/main" id="{FCD3D2DC-A870-4C38-AFF7-B9870C93ED06}"/>
            </a:ext>
          </a:extLst>
        </xdr:cNvPr>
        <xdr:cNvSpPr/>
      </xdr:nvSpPr>
      <xdr:spPr>
        <a:xfrm>
          <a:off x="6765354" y="107832"/>
          <a:ext cx="2014808" cy="1204104"/>
        </a:xfrm>
        <a:prstGeom prst="round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295543</xdr:colOff>
      <xdr:row>0</xdr:row>
      <xdr:rowOff>107832</xdr:rowOff>
    </xdr:from>
    <xdr:to>
      <xdr:col>17</xdr:col>
      <xdr:colOff>477237</xdr:colOff>
      <xdr:row>6</xdr:row>
      <xdr:rowOff>179719</xdr:rowOff>
    </xdr:to>
    <xdr:sp macro="" textlink="">
      <xdr:nvSpPr>
        <xdr:cNvPr id="11" name="Rectangle: Rounded Corners 10">
          <a:extLst>
            <a:ext uri="{FF2B5EF4-FFF2-40B4-BE49-F238E27FC236}">
              <a16:creationId xmlns:a16="http://schemas.microsoft.com/office/drawing/2014/main" id="{62AAFAAA-A6FF-461D-BF9D-CAA7C51B2024}"/>
            </a:ext>
          </a:extLst>
        </xdr:cNvPr>
        <xdr:cNvSpPr/>
      </xdr:nvSpPr>
      <xdr:spPr>
        <a:xfrm>
          <a:off x="8850071" y="107832"/>
          <a:ext cx="2014808" cy="1204104"/>
        </a:xfrm>
        <a:prstGeom prst="round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467263</xdr:colOff>
      <xdr:row>1</xdr:row>
      <xdr:rowOff>116813</xdr:rowOff>
    </xdr:from>
    <xdr:to>
      <xdr:col>9</xdr:col>
      <xdr:colOff>521178</xdr:colOff>
      <xdr:row>3</xdr:row>
      <xdr:rowOff>71885</xdr:rowOff>
    </xdr:to>
    <xdr:sp macro="" textlink="'Pivot Report'!A5">
      <xdr:nvSpPr>
        <xdr:cNvPr id="12" name="TextBox 11">
          <a:extLst>
            <a:ext uri="{FF2B5EF4-FFF2-40B4-BE49-F238E27FC236}">
              <a16:creationId xmlns:a16="http://schemas.microsoft.com/office/drawing/2014/main" id="{5D98E554-3CBF-4CC1-8325-206BB692B6D2}"/>
            </a:ext>
          </a:extLst>
        </xdr:cNvPr>
        <xdr:cNvSpPr txBox="1"/>
      </xdr:nvSpPr>
      <xdr:spPr>
        <a:xfrm>
          <a:off x="5355565" y="305516"/>
          <a:ext cx="664953" cy="33247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7564F16-5385-49E2-B5E7-C8C08F6BFB66}" type="TxLink">
            <a:rPr lang="en-US" sz="1600" b="0" i="0" u="none" strike="noStrike">
              <a:solidFill>
                <a:srgbClr val="000000"/>
              </a:solidFill>
              <a:latin typeface="Calibri"/>
              <a:cs typeface="Calibri"/>
            </a:rPr>
            <a:pPr/>
            <a:t>513</a:t>
          </a:fld>
          <a:endParaRPr lang="en-IN" sz="1600"/>
        </a:p>
      </xdr:txBody>
    </xdr:sp>
    <xdr:clientData/>
  </xdr:twoCellAnchor>
  <xdr:twoCellAnchor>
    <xdr:from>
      <xdr:col>12</xdr:col>
      <xdr:colOff>80873</xdr:colOff>
      <xdr:row>1</xdr:row>
      <xdr:rowOff>116816</xdr:rowOff>
    </xdr:from>
    <xdr:to>
      <xdr:col>13</xdr:col>
      <xdr:colOff>188703</xdr:colOff>
      <xdr:row>3</xdr:row>
      <xdr:rowOff>116817</xdr:rowOff>
    </xdr:to>
    <xdr:sp macro="" textlink="'Pivot Report'!A9">
      <xdr:nvSpPr>
        <xdr:cNvPr id="13" name="TextBox 12">
          <a:extLst>
            <a:ext uri="{FF2B5EF4-FFF2-40B4-BE49-F238E27FC236}">
              <a16:creationId xmlns:a16="http://schemas.microsoft.com/office/drawing/2014/main" id="{71772CF0-FC09-42E4-B008-E8F187901F52}"/>
            </a:ext>
          </a:extLst>
        </xdr:cNvPr>
        <xdr:cNvSpPr txBox="1"/>
      </xdr:nvSpPr>
      <xdr:spPr>
        <a:xfrm>
          <a:off x="7413326" y="305519"/>
          <a:ext cx="718868" cy="377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35206FA-B70B-4935-B66A-D90A8388BF1E}" type="TxLink">
            <a:rPr lang="en-US" sz="1600" b="0" i="0" u="none" strike="noStrike">
              <a:solidFill>
                <a:srgbClr val="000000"/>
              </a:solidFill>
              <a:latin typeface="Calibri"/>
              <a:cs typeface="Calibri"/>
            </a:rPr>
            <a:pPr/>
            <a:t>36.32</a:t>
          </a:fld>
          <a:endParaRPr lang="en-IN" sz="1600"/>
        </a:p>
      </xdr:txBody>
    </xdr:sp>
    <xdr:clientData/>
  </xdr:twoCellAnchor>
  <xdr:twoCellAnchor>
    <xdr:from>
      <xdr:col>15</xdr:col>
      <xdr:colOff>458280</xdr:colOff>
      <xdr:row>1</xdr:row>
      <xdr:rowOff>17971</xdr:rowOff>
    </xdr:from>
    <xdr:to>
      <xdr:col>16</xdr:col>
      <xdr:colOff>458279</xdr:colOff>
      <xdr:row>3</xdr:row>
      <xdr:rowOff>8987</xdr:rowOff>
    </xdr:to>
    <xdr:sp macro="" textlink="'Pivot Report'!A13">
      <xdr:nvSpPr>
        <xdr:cNvPr id="14" name="TextBox 13">
          <a:extLst>
            <a:ext uri="{FF2B5EF4-FFF2-40B4-BE49-F238E27FC236}">
              <a16:creationId xmlns:a16="http://schemas.microsoft.com/office/drawing/2014/main" id="{D0256E2B-3614-4D2A-A745-6A2267017A8F}"/>
            </a:ext>
          </a:extLst>
        </xdr:cNvPr>
        <xdr:cNvSpPr txBox="1"/>
      </xdr:nvSpPr>
      <xdr:spPr>
        <a:xfrm>
          <a:off x="9623846" y="206674"/>
          <a:ext cx="611037" cy="36842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26C2B18-A214-443E-9D57-F09ECAC68B53}" type="TxLink">
            <a:rPr lang="en-US" sz="1600" b="0" i="0" u="none" strike="noStrike">
              <a:solidFill>
                <a:srgbClr val="000000"/>
              </a:solidFill>
              <a:latin typeface="Calibri"/>
              <a:cs typeface="Calibri"/>
            </a:rPr>
            <a:pPr/>
            <a:t>4.96</a:t>
          </a:fld>
          <a:endParaRPr lang="en-IN" sz="1600"/>
        </a:p>
      </xdr:txBody>
    </xdr:sp>
    <xdr:clientData/>
  </xdr:twoCellAnchor>
  <xdr:twoCellAnchor>
    <xdr:from>
      <xdr:col>8</xdr:col>
      <xdr:colOff>251603</xdr:colOff>
      <xdr:row>2</xdr:row>
      <xdr:rowOff>188702</xdr:rowOff>
    </xdr:from>
    <xdr:to>
      <xdr:col>10</xdr:col>
      <xdr:colOff>368419</xdr:colOff>
      <xdr:row>4</xdr:row>
      <xdr:rowOff>35943</xdr:rowOff>
    </xdr:to>
    <xdr:sp macro="" textlink="">
      <xdr:nvSpPr>
        <xdr:cNvPr id="15" name="TextBox 14">
          <a:extLst>
            <a:ext uri="{FF2B5EF4-FFF2-40B4-BE49-F238E27FC236}">
              <a16:creationId xmlns:a16="http://schemas.microsoft.com/office/drawing/2014/main" id="{8A49B95C-C6C3-4F3E-B437-E234A8376952}"/>
            </a:ext>
          </a:extLst>
        </xdr:cNvPr>
        <xdr:cNvSpPr txBox="1"/>
      </xdr:nvSpPr>
      <xdr:spPr>
        <a:xfrm>
          <a:off x="5139905" y="566108"/>
          <a:ext cx="1338891" cy="22464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No.</a:t>
          </a:r>
          <a:r>
            <a:rPr lang="en-IN" sz="1200" baseline="0"/>
            <a:t> of Patient</a:t>
          </a:r>
          <a:endParaRPr lang="en-IN" sz="1200"/>
        </a:p>
      </xdr:txBody>
    </xdr:sp>
    <xdr:clientData/>
  </xdr:twoCellAnchor>
  <xdr:twoCellAnchor>
    <xdr:from>
      <xdr:col>11</xdr:col>
      <xdr:colOff>458279</xdr:colOff>
      <xdr:row>2</xdr:row>
      <xdr:rowOff>179717</xdr:rowOff>
    </xdr:from>
    <xdr:to>
      <xdr:col>14</xdr:col>
      <xdr:colOff>98845</xdr:colOff>
      <xdr:row>4</xdr:row>
      <xdr:rowOff>26958</xdr:rowOff>
    </xdr:to>
    <xdr:sp macro="" textlink="">
      <xdr:nvSpPr>
        <xdr:cNvPr id="16" name="TextBox 15">
          <a:extLst>
            <a:ext uri="{FF2B5EF4-FFF2-40B4-BE49-F238E27FC236}">
              <a16:creationId xmlns:a16="http://schemas.microsoft.com/office/drawing/2014/main" id="{6AC01613-495B-401E-8ABC-B11CDEA16807}"/>
            </a:ext>
          </a:extLst>
        </xdr:cNvPr>
        <xdr:cNvSpPr txBox="1"/>
      </xdr:nvSpPr>
      <xdr:spPr>
        <a:xfrm>
          <a:off x="7179694" y="557123"/>
          <a:ext cx="1473679" cy="22464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Average</a:t>
          </a:r>
          <a:r>
            <a:rPr lang="en-IN" sz="1200" baseline="0"/>
            <a:t> Wait Time</a:t>
          </a:r>
          <a:endParaRPr lang="en-IN" sz="1200"/>
        </a:p>
      </xdr:txBody>
    </xdr:sp>
    <xdr:clientData/>
  </xdr:twoCellAnchor>
  <xdr:twoCellAnchor>
    <xdr:from>
      <xdr:col>14</xdr:col>
      <xdr:colOff>431322</xdr:colOff>
      <xdr:row>2</xdr:row>
      <xdr:rowOff>161746</xdr:rowOff>
    </xdr:from>
    <xdr:to>
      <xdr:col>17</xdr:col>
      <xdr:colOff>440307</xdr:colOff>
      <xdr:row>4</xdr:row>
      <xdr:rowOff>8987</xdr:rowOff>
    </xdr:to>
    <xdr:sp macro="" textlink="">
      <xdr:nvSpPr>
        <xdr:cNvPr id="17" name="TextBox 16">
          <a:extLst>
            <a:ext uri="{FF2B5EF4-FFF2-40B4-BE49-F238E27FC236}">
              <a16:creationId xmlns:a16="http://schemas.microsoft.com/office/drawing/2014/main" id="{B63D809B-5854-4F5C-8BB1-DE2774925250}"/>
            </a:ext>
          </a:extLst>
        </xdr:cNvPr>
        <xdr:cNvSpPr txBox="1"/>
      </xdr:nvSpPr>
      <xdr:spPr>
        <a:xfrm>
          <a:off x="8985850" y="539152"/>
          <a:ext cx="1842099" cy="22464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Patient</a:t>
          </a:r>
          <a:r>
            <a:rPr lang="en-IN" sz="1200" baseline="0"/>
            <a:t> Satisfaction Score</a:t>
          </a:r>
          <a:endParaRPr lang="en-IN" sz="1200"/>
        </a:p>
      </xdr:txBody>
    </xdr:sp>
    <xdr:clientData/>
  </xdr:twoCellAnchor>
  <xdr:twoCellAnchor>
    <xdr:from>
      <xdr:col>7</xdr:col>
      <xdr:colOff>422334</xdr:colOff>
      <xdr:row>1</xdr:row>
      <xdr:rowOff>17972</xdr:rowOff>
    </xdr:from>
    <xdr:to>
      <xdr:col>8</xdr:col>
      <xdr:colOff>431319</xdr:colOff>
      <xdr:row>3</xdr:row>
      <xdr:rowOff>125803</xdr:rowOff>
    </xdr:to>
    <xdr:sp macro="" textlink="">
      <xdr:nvSpPr>
        <xdr:cNvPr id="18" name="Oval 17">
          <a:extLst>
            <a:ext uri="{FF2B5EF4-FFF2-40B4-BE49-F238E27FC236}">
              <a16:creationId xmlns:a16="http://schemas.microsoft.com/office/drawing/2014/main" id="{A302BC47-50FC-4324-8102-26A8B7BABD3C}"/>
            </a:ext>
          </a:extLst>
        </xdr:cNvPr>
        <xdr:cNvSpPr/>
      </xdr:nvSpPr>
      <xdr:spPr>
        <a:xfrm>
          <a:off x="4699598" y="206675"/>
          <a:ext cx="620023" cy="485236"/>
        </a:xfrm>
        <a:prstGeom prst="ellipse">
          <a:avLst/>
        </a:prstGeom>
        <a:blipFill dpi="0" rotWithShape="1">
          <a:blip xmlns:r="http://schemas.openxmlformats.org/officeDocument/2006/relationships" r:embed="rId1" cstate="print">
            <a:extLst>
              <a:ext uri="{BEBA8EAE-BF5A-486C-A8C5-ECC9F3942E4B}">
                <a14:imgProps xmlns:a14="http://schemas.microsoft.com/office/drawing/2010/main">
                  <a14:imgLayer r:embed="rId2">
                    <a14:imgEffect>
                      <a14:brightnessContrast bright="-20000" contrast="-20000"/>
                    </a14:imgEffect>
                  </a14:imgLayer>
                </a14:imgProps>
              </a:ext>
              <a:ext uri="{28A0092B-C50C-407E-A947-70E740481C1C}">
                <a14:useLocalDpi xmlns:a14="http://schemas.microsoft.com/office/drawing/2010/main" val="0"/>
              </a:ext>
            </a:extLst>
          </a:blip>
          <a:srcRect/>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62901</xdr:colOff>
      <xdr:row>0</xdr:row>
      <xdr:rowOff>125802</xdr:rowOff>
    </xdr:from>
    <xdr:to>
      <xdr:col>12</xdr:col>
      <xdr:colOff>197689</xdr:colOff>
      <xdr:row>3</xdr:row>
      <xdr:rowOff>89859</xdr:rowOff>
    </xdr:to>
    <xdr:sp macro="" textlink="">
      <xdr:nvSpPr>
        <xdr:cNvPr id="19" name="Oval 18">
          <a:extLst>
            <a:ext uri="{FF2B5EF4-FFF2-40B4-BE49-F238E27FC236}">
              <a16:creationId xmlns:a16="http://schemas.microsoft.com/office/drawing/2014/main" id="{581C3C6E-D37B-4D3B-A180-13C6BC44B99C}"/>
            </a:ext>
          </a:extLst>
        </xdr:cNvPr>
        <xdr:cNvSpPr/>
      </xdr:nvSpPr>
      <xdr:spPr>
        <a:xfrm>
          <a:off x="6784316" y="125802"/>
          <a:ext cx="745826" cy="530165"/>
        </a:xfrm>
        <a:prstGeom prst="ellipse">
          <a:avLst/>
        </a:prstGeom>
        <a:blipFill>
          <a:blip xmlns:r="http://schemas.openxmlformats.org/officeDocument/2006/relationships" r:embed="rId3" cstate="print">
            <a:extLst>
              <a:ext uri="{BEBA8EAE-BF5A-486C-A8C5-ECC9F3942E4B}">
                <a14:imgProps xmlns:a14="http://schemas.microsoft.com/office/drawing/2010/main">
                  <a14:imgLayer r:embed="rId4">
                    <a14:imgEffect>
                      <a14:brightnessContrast bright="-20000" contrast="-20000"/>
                    </a14:imgEffect>
                  </a14:imgLayer>
                </a14:imgProps>
              </a:ext>
              <a:ext uri="{28A0092B-C50C-407E-A947-70E740481C1C}">
                <a14:useLocalDpi xmlns:a14="http://schemas.microsoft.com/office/drawing/2010/main" val="0"/>
              </a:ext>
            </a:extLst>
          </a:blip>
          <a:srcRect/>
          <a:stretch>
            <a:fillRect b="-21569"/>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314503</xdr:colOff>
      <xdr:row>0</xdr:row>
      <xdr:rowOff>134788</xdr:rowOff>
    </xdr:from>
    <xdr:to>
      <xdr:col>15</xdr:col>
      <xdr:colOff>260589</xdr:colOff>
      <xdr:row>3</xdr:row>
      <xdr:rowOff>71888</xdr:rowOff>
    </xdr:to>
    <xdr:sp macro="" textlink="">
      <xdr:nvSpPr>
        <xdr:cNvPr id="20" name="Oval 19">
          <a:extLst>
            <a:ext uri="{FF2B5EF4-FFF2-40B4-BE49-F238E27FC236}">
              <a16:creationId xmlns:a16="http://schemas.microsoft.com/office/drawing/2014/main" id="{C734D5ED-99CA-4F6E-AE10-9787048E9BCA}"/>
            </a:ext>
          </a:extLst>
        </xdr:cNvPr>
        <xdr:cNvSpPr/>
      </xdr:nvSpPr>
      <xdr:spPr>
        <a:xfrm>
          <a:off x="8869031" y="134788"/>
          <a:ext cx="557124" cy="503208"/>
        </a:xfrm>
        <a:prstGeom prst="ellipse">
          <a:avLst/>
        </a:prstGeom>
        <a:blipFill dpi="0" rotWithShape="1">
          <a:blip xmlns:r="http://schemas.openxmlformats.org/officeDocument/2006/relationships" r:embed="rId5" cstate="print">
            <a:extLst>
              <a:ext uri="{BEBA8EAE-BF5A-486C-A8C5-ECC9F3942E4B}">
                <a14:imgProps xmlns:a14="http://schemas.microsoft.com/office/drawing/2010/main">
                  <a14:imgLayer r:embed="rId6">
                    <a14:imgEffect>
                      <a14:brightnessContrast bright="-20000" contrast="-20000"/>
                    </a14:imgEffect>
                  </a14:imgLayer>
                </a14:imgProps>
              </a:ext>
              <a:ext uri="{28A0092B-C50C-407E-A947-70E740481C1C}">
                <a14:useLocalDpi xmlns:a14="http://schemas.microsoft.com/office/drawing/2010/main" val="0"/>
              </a:ext>
            </a:extLst>
          </a:blip>
          <a:srcRect/>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8987</xdr:colOff>
      <xdr:row>4</xdr:row>
      <xdr:rowOff>1</xdr:rowOff>
    </xdr:from>
    <xdr:to>
      <xdr:col>19</xdr:col>
      <xdr:colOff>413350</xdr:colOff>
      <xdr:row>21</xdr:row>
      <xdr:rowOff>179719</xdr:rowOff>
    </xdr:to>
    <mc:AlternateContent xmlns:mc="http://schemas.openxmlformats.org/markup-compatibility/2006" xmlns:a14="http://schemas.microsoft.com/office/drawing/2010/main">
      <mc:Choice Requires="a14">
        <xdr:graphicFrame macro="">
          <xdr:nvGraphicFramePr>
            <xdr:cNvPr id="21" name="Date (Month)">
              <a:extLst>
                <a:ext uri="{FF2B5EF4-FFF2-40B4-BE49-F238E27FC236}">
                  <a16:creationId xmlns:a16="http://schemas.microsoft.com/office/drawing/2014/main" id="{89005542-26F8-4514-8894-EB541BE94714}"/>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1007666" y="754812"/>
              <a:ext cx="1015401" cy="3387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404363</xdr:colOff>
      <xdr:row>2</xdr:row>
      <xdr:rowOff>98844</xdr:rowOff>
    </xdr:from>
    <xdr:to>
      <xdr:col>10</xdr:col>
      <xdr:colOff>584080</xdr:colOff>
      <xdr:row>7</xdr:row>
      <xdr:rowOff>35942</xdr:rowOff>
    </xdr:to>
    <xdr:graphicFrame macro="">
      <xdr:nvGraphicFramePr>
        <xdr:cNvPr id="22" name="Chart 21">
          <a:hlinkClick xmlns:r="http://schemas.openxmlformats.org/officeDocument/2006/relationships" r:id="rId7"/>
          <a:extLst>
            <a:ext uri="{FF2B5EF4-FFF2-40B4-BE49-F238E27FC236}">
              <a16:creationId xmlns:a16="http://schemas.microsoft.com/office/drawing/2014/main" id="{CC1657D4-CEFB-4D25-A737-D8070078A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71886</xdr:colOff>
      <xdr:row>4</xdr:row>
      <xdr:rowOff>71887</xdr:rowOff>
    </xdr:from>
    <xdr:to>
      <xdr:col>14</xdr:col>
      <xdr:colOff>197688</xdr:colOff>
      <xdr:row>6</xdr:row>
      <xdr:rowOff>161745</xdr:rowOff>
    </xdr:to>
    <xdr:graphicFrame macro="">
      <xdr:nvGraphicFramePr>
        <xdr:cNvPr id="23" name="Chart 22">
          <a:hlinkClick xmlns:r="http://schemas.openxmlformats.org/officeDocument/2006/relationships" r:id="rId9"/>
          <a:extLst>
            <a:ext uri="{FF2B5EF4-FFF2-40B4-BE49-F238E27FC236}">
              <a16:creationId xmlns:a16="http://schemas.microsoft.com/office/drawing/2014/main" id="{F1F015B6-87F1-4AD6-89D9-97738C6CBC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386393</xdr:colOff>
      <xdr:row>4</xdr:row>
      <xdr:rowOff>44930</xdr:rowOff>
    </xdr:from>
    <xdr:to>
      <xdr:col>17</xdr:col>
      <xdr:colOff>377407</xdr:colOff>
      <xdr:row>6</xdr:row>
      <xdr:rowOff>125803</xdr:rowOff>
    </xdr:to>
    <xdr:graphicFrame macro="">
      <xdr:nvGraphicFramePr>
        <xdr:cNvPr id="24" name="Chart 23">
          <a:hlinkClick xmlns:r="http://schemas.openxmlformats.org/officeDocument/2006/relationships" r:id="rId11"/>
          <a:extLst>
            <a:ext uri="{FF2B5EF4-FFF2-40B4-BE49-F238E27FC236}">
              <a16:creationId xmlns:a16="http://schemas.microsoft.com/office/drawing/2014/main" id="{ED86F2A1-5A2C-4A33-8A60-BE1ED0F30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467264</xdr:colOff>
      <xdr:row>7</xdr:row>
      <xdr:rowOff>62901</xdr:rowOff>
    </xdr:from>
    <xdr:to>
      <xdr:col>17</xdr:col>
      <xdr:colOff>476250</xdr:colOff>
      <xdr:row>10</xdr:row>
      <xdr:rowOff>134788</xdr:rowOff>
    </xdr:to>
    <xdr:sp macro="" textlink="">
      <xdr:nvSpPr>
        <xdr:cNvPr id="3" name="Rectangle 2">
          <a:extLst>
            <a:ext uri="{FF2B5EF4-FFF2-40B4-BE49-F238E27FC236}">
              <a16:creationId xmlns:a16="http://schemas.microsoft.com/office/drawing/2014/main" id="{C17B0262-DF37-4FD7-A412-6F65987AF78F}"/>
            </a:ext>
          </a:extLst>
        </xdr:cNvPr>
        <xdr:cNvSpPr/>
      </xdr:nvSpPr>
      <xdr:spPr>
        <a:xfrm>
          <a:off x="4744528" y="1383821"/>
          <a:ext cx="6119364" cy="637995"/>
        </a:xfrm>
        <a:prstGeom prst="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7</xdr:col>
          <xdr:colOff>485236</xdr:colOff>
          <xdr:row>7</xdr:row>
          <xdr:rowOff>89859</xdr:rowOff>
        </xdr:from>
        <xdr:to>
          <xdr:col>17</xdr:col>
          <xdr:colOff>485236</xdr:colOff>
          <xdr:row>10</xdr:row>
          <xdr:rowOff>99385</xdr:rowOff>
        </xdr:to>
        <xdr:pic>
          <xdr:nvPicPr>
            <xdr:cNvPr id="26" name="Picture 25">
              <a:extLst>
                <a:ext uri="{FF2B5EF4-FFF2-40B4-BE49-F238E27FC236}">
                  <a16:creationId xmlns:a16="http://schemas.microsoft.com/office/drawing/2014/main" id="{A3487411-070E-4DF0-8282-205DCD708B86}"/>
                </a:ext>
              </a:extLst>
            </xdr:cNvPr>
            <xdr:cNvPicPr>
              <a:picLocks noChangeAspect="1" noChangeArrowheads="1"/>
              <a:extLst>
                <a:ext uri="{84589F7E-364E-4C9E-8A38-B11213B215E9}">
                  <a14:cameraTool cellRange="'Pivot Report'!$A$46:$D$48" spid="_x0000_s2060"/>
                </a:ext>
              </a:extLst>
            </xdr:cNvPicPr>
          </xdr:nvPicPr>
          <xdr:blipFill>
            <a:blip xmlns:r="http://schemas.openxmlformats.org/officeDocument/2006/relationships" r:embed="rId13"/>
            <a:srcRect/>
            <a:stretch>
              <a:fillRect/>
            </a:stretch>
          </xdr:blipFill>
          <xdr:spPr bwMode="auto">
            <a:xfrm>
              <a:off x="4762500" y="1410779"/>
              <a:ext cx="6110378" cy="57563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0</xdr:colOff>
      <xdr:row>0</xdr:row>
      <xdr:rowOff>152760</xdr:rowOff>
    </xdr:from>
    <xdr:to>
      <xdr:col>7</xdr:col>
      <xdr:colOff>332477</xdr:colOff>
      <xdr:row>5</xdr:row>
      <xdr:rowOff>179717</xdr:rowOff>
    </xdr:to>
    <xdr:sp macro="" textlink="">
      <xdr:nvSpPr>
        <xdr:cNvPr id="5" name="Rectangle: Rounded Corners 4">
          <a:extLst>
            <a:ext uri="{FF2B5EF4-FFF2-40B4-BE49-F238E27FC236}">
              <a16:creationId xmlns:a16="http://schemas.microsoft.com/office/drawing/2014/main" id="{41AE3FC6-EEB5-46BD-9814-0E918224A376}"/>
            </a:ext>
          </a:extLst>
        </xdr:cNvPr>
        <xdr:cNvSpPr/>
      </xdr:nvSpPr>
      <xdr:spPr>
        <a:xfrm>
          <a:off x="0" y="152760"/>
          <a:ext cx="4609741" cy="970471"/>
        </a:xfrm>
        <a:prstGeom prst="round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71888</xdr:colOff>
      <xdr:row>1</xdr:row>
      <xdr:rowOff>17971</xdr:rowOff>
    </xdr:from>
    <xdr:to>
      <xdr:col>7</xdr:col>
      <xdr:colOff>323492</xdr:colOff>
      <xdr:row>6</xdr:row>
      <xdr:rowOff>44928</xdr:rowOff>
    </xdr:to>
    <xdr:sp macro="" textlink="">
      <xdr:nvSpPr>
        <xdr:cNvPr id="27" name="Rectangle: Rounded Corners 26">
          <a:extLst>
            <a:ext uri="{FF2B5EF4-FFF2-40B4-BE49-F238E27FC236}">
              <a16:creationId xmlns:a16="http://schemas.microsoft.com/office/drawing/2014/main" id="{6370BDCA-9DA8-4226-8996-332A14E032BD}"/>
            </a:ext>
          </a:extLst>
        </xdr:cNvPr>
        <xdr:cNvSpPr/>
      </xdr:nvSpPr>
      <xdr:spPr>
        <a:xfrm>
          <a:off x="71888" y="206674"/>
          <a:ext cx="4528868" cy="970471"/>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170731</xdr:colOff>
      <xdr:row>1</xdr:row>
      <xdr:rowOff>62901</xdr:rowOff>
    </xdr:from>
    <xdr:to>
      <xdr:col>7</xdr:col>
      <xdr:colOff>593066</xdr:colOff>
      <xdr:row>6</xdr:row>
      <xdr:rowOff>71887</xdr:rowOff>
    </xdr:to>
    <xdr:sp macro="" textlink="">
      <xdr:nvSpPr>
        <xdr:cNvPr id="6" name="TextBox 5">
          <a:extLst>
            <a:ext uri="{FF2B5EF4-FFF2-40B4-BE49-F238E27FC236}">
              <a16:creationId xmlns:a16="http://schemas.microsoft.com/office/drawing/2014/main" id="{C8E167D8-FC8C-4CE7-B3DC-D929E085C68C}"/>
            </a:ext>
          </a:extLst>
        </xdr:cNvPr>
        <xdr:cNvSpPr txBox="1"/>
      </xdr:nvSpPr>
      <xdr:spPr>
        <a:xfrm>
          <a:off x="1392806" y="251604"/>
          <a:ext cx="3477524"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400" b="1">
              <a:solidFill>
                <a:schemeClr val="dk1"/>
              </a:solidFill>
              <a:effectLst/>
              <a:latin typeface="+mn-lt"/>
              <a:ea typeface="+mn-ea"/>
              <a:cs typeface="+mn-cs"/>
            </a:rPr>
            <a:t>Hospital Emergency </a:t>
          </a:r>
        </a:p>
        <a:p>
          <a:pPr marL="0" marR="0" lvl="0" indent="0" defTabSz="914400" eaLnBrk="1" fontAlgn="auto" latinLnBrk="0" hangingPunct="1">
            <a:lnSpc>
              <a:spcPct val="100000"/>
            </a:lnSpc>
            <a:spcBef>
              <a:spcPts val="0"/>
            </a:spcBef>
            <a:spcAft>
              <a:spcPts val="0"/>
            </a:spcAft>
            <a:buClrTx/>
            <a:buSzTx/>
            <a:buFontTx/>
            <a:buNone/>
            <a:tabLst/>
            <a:defRPr/>
          </a:pPr>
          <a:r>
            <a:rPr lang="en-IN" sz="1800" b="0">
              <a:solidFill>
                <a:schemeClr val="dk1"/>
              </a:solidFill>
              <a:effectLst/>
              <a:latin typeface="+mn-lt"/>
              <a:ea typeface="+mn-ea"/>
              <a:cs typeface="+mn-cs"/>
            </a:rPr>
            <a:t>             Care Insights</a:t>
          </a:r>
          <a:endParaRPr lang="en-IN" sz="1800" b="0">
            <a:effectLst/>
          </a:endParaRPr>
        </a:p>
        <a:p>
          <a:endParaRPr lang="en-IN" sz="1100"/>
        </a:p>
      </xdr:txBody>
    </xdr:sp>
    <xdr:clientData/>
  </xdr:twoCellAnchor>
  <xdr:twoCellAnchor>
    <xdr:from>
      <xdr:col>0</xdr:col>
      <xdr:colOff>26958</xdr:colOff>
      <xdr:row>0</xdr:row>
      <xdr:rowOff>80873</xdr:rowOff>
    </xdr:from>
    <xdr:to>
      <xdr:col>7</xdr:col>
      <xdr:colOff>359435</xdr:colOff>
      <xdr:row>5</xdr:row>
      <xdr:rowOff>107830</xdr:rowOff>
    </xdr:to>
    <xdr:sp macro="" textlink="">
      <xdr:nvSpPr>
        <xdr:cNvPr id="28" name="Rectangle: Rounded Corners 27">
          <a:extLst>
            <a:ext uri="{FF2B5EF4-FFF2-40B4-BE49-F238E27FC236}">
              <a16:creationId xmlns:a16="http://schemas.microsoft.com/office/drawing/2014/main" id="{4083F810-1444-47C5-8D60-6F20FCAD22F9}"/>
            </a:ext>
          </a:extLst>
        </xdr:cNvPr>
        <xdr:cNvSpPr/>
      </xdr:nvSpPr>
      <xdr:spPr>
        <a:xfrm>
          <a:off x="26958" y="80873"/>
          <a:ext cx="4609741" cy="970471"/>
        </a:xfrm>
        <a:prstGeom prst="round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98846</xdr:colOff>
      <xdr:row>0</xdr:row>
      <xdr:rowOff>134787</xdr:rowOff>
    </xdr:from>
    <xdr:to>
      <xdr:col>7</xdr:col>
      <xdr:colOff>350450</xdr:colOff>
      <xdr:row>5</xdr:row>
      <xdr:rowOff>161744</xdr:rowOff>
    </xdr:to>
    <xdr:sp macro="" textlink="">
      <xdr:nvSpPr>
        <xdr:cNvPr id="29" name="Rectangle: Rounded Corners 28">
          <a:extLst>
            <a:ext uri="{FF2B5EF4-FFF2-40B4-BE49-F238E27FC236}">
              <a16:creationId xmlns:a16="http://schemas.microsoft.com/office/drawing/2014/main" id="{37F5DAB7-014A-4773-B17A-89A30B6234A8}"/>
            </a:ext>
          </a:extLst>
        </xdr:cNvPr>
        <xdr:cNvSpPr/>
      </xdr:nvSpPr>
      <xdr:spPr>
        <a:xfrm>
          <a:off x="98846" y="134787"/>
          <a:ext cx="4528868" cy="970471"/>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197689</xdr:colOff>
      <xdr:row>0</xdr:row>
      <xdr:rowOff>179717</xdr:rowOff>
    </xdr:from>
    <xdr:to>
      <xdr:col>8</xdr:col>
      <xdr:colOff>8986</xdr:colOff>
      <xdr:row>6</xdr:row>
      <xdr:rowOff>0</xdr:rowOff>
    </xdr:to>
    <xdr:sp macro="" textlink="">
      <xdr:nvSpPr>
        <xdr:cNvPr id="30" name="TextBox 29">
          <a:extLst>
            <a:ext uri="{FF2B5EF4-FFF2-40B4-BE49-F238E27FC236}">
              <a16:creationId xmlns:a16="http://schemas.microsoft.com/office/drawing/2014/main" id="{03166BC9-6AB5-43EB-BD54-C2788F5969C2}"/>
            </a:ext>
          </a:extLst>
        </xdr:cNvPr>
        <xdr:cNvSpPr txBox="1"/>
      </xdr:nvSpPr>
      <xdr:spPr>
        <a:xfrm>
          <a:off x="1419764" y="179717"/>
          <a:ext cx="3477524"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400" b="1">
              <a:solidFill>
                <a:schemeClr val="dk1"/>
              </a:solidFill>
              <a:effectLst/>
              <a:latin typeface="+mn-lt"/>
              <a:ea typeface="+mn-ea"/>
              <a:cs typeface="+mn-cs"/>
            </a:rPr>
            <a:t>Hospital Emergency </a:t>
          </a:r>
        </a:p>
        <a:p>
          <a:pPr marL="0" marR="0" lvl="0" indent="0" defTabSz="914400" eaLnBrk="1" fontAlgn="auto" latinLnBrk="0" hangingPunct="1">
            <a:lnSpc>
              <a:spcPct val="100000"/>
            </a:lnSpc>
            <a:spcBef>
              <a:spcPts val="0"/>
            </a:spcBef>
            <a:spcAft>
              <a:spcPts val="0"/>
            </a:spcAft>
            <a:buClrTx/>
            <a:buSzTx/>
            <a:buFontTx/>
            <a:buNone/>
            <a:tabLst/>
            <a:defRPr/>
          </a:pPr>
          <a:r>
            <a:rPr lang="en-IN" sz="1800" b="0">
              <a:solidFill>
                <a:schemeClr val="dk1"/>
              </a:solidFill>
              <a:effectLst/>
              <a:latin typeface="+mn-lt"/>
              <a:ea typeface="+mn-ea"/>
              <a:cs typeface="+mn-cs"/>
            </a:rPr>
            <a:t>             Care Insights</a:t>
          </a:r>
          <a:endParaRPr lang="en-IN" sz="1800" b="0">
            <a:effectLst/>
          </a:endParaRPr>
        </a:p>
        <a:p>
          <a:endParaRPr lang="en-IN" sz="1100"/>
        </a:p>
      </xdr:txBody>
    </xdr:sp>
    <xdr:clientData/>
  </xdr:twoCellAnchor>
  <xdr:twoCellAnchor editAs="oneCell">
    <xdr:from>
      <xdr:col>0</xdr:col>
      <xdr:colOff>152759</xdr:colOff>
      <xdr:row>0</xdr:row>
      <xdr:rowOff>179717</xdr:rowOff>
    </xdr:from>
    <xdr:to>
      <xdr:col>2</xdr:col>
      <xdr:colOff>332478</xdr:colOff>
      <xdr:row>6</xdr:row>
      <xdr:rowOff>35943</xdr:rowOff>
    </xdr:to>
    <xdr:pic>
      <xdr:nvPicPr>
        <xdr:cNvPr id="9" name="Picture 8">
          <a:extLst>
            <a:ext uri="{FF2B5EF4-FFF2-40B4-BE49-F238E27FC236}">
              <a16:creationId xmlns:a16="http://schemas.microsoft.com/office/drawing/2014/main" id="{D077B38C-AF75-4596-89C1-189E6AD43284}"/>
            </a:ext>
          </a:extLst>
        </xdr:cNvPr>
        <xdr:cNvPicPr>
          <a:picLocks noChangeAspect="1"/>
        </xdr:cNvPicPr>
      </xdr:nvPicPr>
      <xdr:blipFill rotWithShape="1">
        <a:blip xmlns:r="http://schemas.openxmlformats.org/officeDocument/2006/relationships" r:embed="rId14" cstate="print">
          <a:clrChange>
            <a:clrFrom>
              <a:srgbClr val="FFFFFF"/>
            </a:clrFrom>
            <a:clrTo>
              <a:srgbClr val="FFFFFF">
                <a:alpha val="0"/>
              </a:srgbClr>
            </a:clrTo>
          </a:clrChange>
          <a:extLst>
            <a:ext uri="{28A0092B-C50C-407E-A947-70E740481C1C}">
              <a14:useLocalDpi xmlns:a14="http://schemas.microsoft.com/office/drawing/2010/main" val="0"/>
            </a:ext>
          </a:extLst>
        </a:blip>
        <a:srcRect l="9129" t="19502" r="8713" b="22407"/>
        <a:stretch/>
      </xdr:blipFill>
      <xdr:spPr>
        <a:xfrm>
          <a:off x="152759" y="179717"/>
          <a:ext cx="1401794" cy="988443"/>
        </a:xfrm>
        <a:prstGeom prst="rect">
          <a:avLst/>
        </a:prstGeom>
      </xdr:spPr>
    </xdr:pic>
    <xdr:clientData/>
  </xdr:twoCellAnchor>
  <xdr:twoCellAnchor>
    <xdr:from>
      <xdr:col>12</xdr:col>
      <xdr:colOff>539151</xdr:colOff>
      <xdr:row>11</xdr:row>
      <xdr:rowOff>8986</xdr:rowOff>
    </xdr:from>
    <xdr:to>
      <xdr:col>17</xdr:col>
      <xdr:colOff>503207</xdr:colOff>
      <xdr:row>22</xdr:row>
      <xdr:rowOff>62901</xdr:rowOff>
    </xdr:to>
    <xdr:sp macro="" textlink="">
      <xdr:nvSpPr>
        <xdr:cNvPr id="32" name="Rectangle: Rounded Corners 31">
          <a:extLst>
            <a:ext uri="{FF2B5EF4-FFF2-40B4-BE49-F238E27FC236}">
              <a16:creationId xmlns:a16="http://schemas.microsoft.com/office/drawing/2014/main" id="{254B6B31-9C35-476A-AD19-91280F1150BE}"/>
            </a:ext>
          </a:extLst>
        </xdr:cNvPr>
        <xdr:cNvSpPr/>
      </xdr:nvSpPr>
      <xdr:spPr>
        <a:xfrm>
          <a:off x="7871604" y="2084717"/>
          <a:ext cx="3019245" cy="2129646"/>
        </a:xfrm>
        <a:prstGeom prst="roundRect">
          <a:avLst>
            <a:gd name="adj" fmla="val 7806"/>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431322</xdr:colOff>
      <xdr:row>10</xdr:row>
      <xdr:rowOff>179717</xdr:rowOff>
    </xdr:from>
    <xdr:to>
      <xdr:col>17</xdr:col>
      <xdr:colOff>602053</xdr:colOff>
      <xdr:row>22</xdr:row>
      <xdr:rowOff>80872</xdr:rowOff>
    </xdr:to>
    <xdr:graphicFrame macro="">
      <xdr:nvGraphicFramePr>
        <xdr:cNvPr id="31" name="Chart 30">
          <a:extLst>
            <a:ext uri="{FF2B5EF4-FFF2-40B4-BE49-F238E27FC236}">
              <a16:creationId xmlns:a16="http://schemas.microsoft.com/office/drawing/2014/main" id="{EFEC5578-14E2-4E78-A8C7-CB99C957EC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494222</xdr:colOff>
      <xdr:row>11</xdr:row>
      <xdr:rowOff>17972</xdr:rowOff>
    </xdr:from>
    <xdr:to>
      <xdr:col>17</xdr:col>
      <xdr:colOff>8986</xdr:colOff>
      <xdr:row>12</xdr:row>
      <xdr:rowOff>53915</xdr:rowOff>
    </xdr:to>
    <xdr:sp macro="" textlink="">
      <xdr:nvSpPr>
        <xdr:cNvPr id="33" name="TextBox 32">
          <a:extLst>
            <a:ext uri="{FF2B5EF4-FFF2-40B4-BE49-F238E27FC236}">
              <a16:creationId xmlns:a16="http://schemas.microsoft.com/office/drawing/2014/main" id="{9B6C17FC-0004-4440-A30B-A40988ED3435}"/>
            </a:ext>
          </a:extLst>
        </xdr:cNvPr>
        <xdr:cNvSpPr txBox="1"/>
      </xdr:nvSpPr>
      <xdr:spPr>
        <a:xfrm>
          <a:off x="8437713" y="2093703"/>
          <a:ext cx="1958915" cy="22464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No.</a:t>
          </a:r>
          <a:r>
            <a:rPr lang="en-IN" sz="1200" baseline="0"/>
            <a:t> of Patient by Age-Group</a:t>
          </a:r>
          <a:endParaRPr lang="en-IN" sz="1200"/>
        </a:p>
      </xdr:txBody>
    </xdr:sp>
    <xdr:clientData/>
  </xdr:twoCellAnchor>
  <xdr:twoCellAnchor>
    <xdr:from>
      <xdr:col>7</xdr:col>
      <xdr:colOff>485236</xdr:colOff>
      <xdr:row>11</xdr:row>
      <xdr:rowOff>26957</xdr:rowOff>
    </xdr:from>
    <xdr:to>
      <xdr:col>12</xdr:col>
      <xdr:colOff>449292</xdr:colOff>
      <xdr:row>22</xdr:row>
      <xdr:rowOff>80872</xdr:rowOff>
    </xdr:to>
    <xdr:sp macro="" textlink="">
      <xdr:nvSpPr>
        <xdr:cNvPr id="35" name="Rectangle: Rounded Corners 34">
          <a:extLst>
            <a:ext uri="{FF2B5EF4-FFF2-40B4-BE49-F238E27FC236}">
              <a16:creationId xmlns:a16="http://schemas.microsoft.com/office/drawing/2014/main" id="{C4B4E37C-F42E-49C0-90D5-41D4395E9136}"/>
            </a:ext>
          </a:extLst>
        </xdr:cNvPr>
        <xdr:cNvSpPr/>
      </xdr:nvSpPr>
      <xdr:spPr>
        <a:xfrm>
          <a:off x="4762500" y="2102688"/>
          <a:ext cx="3019245" cy="2129646"/>
        </a:xfrm>
        <a:prstGeom prst="roundRect">
          <a:avLst>
            <a:gd name="adj" fmla="val 7806"/>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341464</xdr:colOff>
      <xdr:row>11</xdr:row>
      <xdr:rowOff>125803</xdr:rowOff>
    </xdr:from>
    <xdr:to>
      <xdr:col>13</xdr:col>
      <xdr:colOff>143773</xdr:colOff>
      <xdr:row>22</xdr:row>
      <xdr:rowOff>17972</xdr:rowOff>
    </xdr:to>
    <xdr:graphicFrame macro="">
      <xdr:nvGraphicFramePr>
        <xdr:cNvPr id="34" name="Chart 33">
          <a:extLst>
            <a:ext uri="{FF2B5EF4-FFF2-40B4-BE49-F238E27FC236}">
              <a16:creationId xmlns:a16="http://schemas.microsoft.com/office/drawing/2014/main" id="{1E3BAADD-7A87-4401-94BF-4873087245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8988</xdr:colOff>
      <xdr:row>13</xdr:row>
      <xdr:rowOff>53914</xdr:rowOff>
    </xdr:from>
    <xdr:to>
      <xdr:col>3</xdr:col>
      <xdr:colOff>260591</xdr:colOff>
      <xdr:row>22</xdr:row>
      <xdr:rowOff>71886</xdr:rowOff>
    </xdr:to>
    <xdr:sp macro="" textlink="">
      <xdr:nvSpPr>
        <xdr:cNvPr id="37" name="Rectangle: Rounded Corners 36">
          <a:extLst>
            <a:ext uri="{FF2B5EF4-FFF2-40B4-BE49-F238E27FC236}">
              <a16:creationId xmlns:a16="http://schemas.microsoft.com/office/drawing/2014/main" id="{A8580155-6D80-4242-8091-F145F1EB9DA7}"/>
            </a:ext>
          </a:extLst>
        </xdr:cNvPr>
        <xdr:cNvSpPr/>
      </xdr:nvSpPr>
      <xdr:spPr>
        <a:xfrm>
          <a:off x="8988" y="2507051"/>
          <a:ext cx="2084716" cy="1716297"/>
        </a:xfrm>
        <a:prstGeom prst="roundRect">
          <a:avLst>
            <a:gd name="adj" fmla="val 7806"/>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188703</xdr:colOff>
      <xdr:row>13</xdr:row>
      <xdr:rowOff>53916</xdr:rowOff>
    </xdr:from>
    <xdr:to>
      <xdr:col>2</xdr:col>
      <xdr:colOff>566109</xdr:colOff>
      <xdr:row>14</xdr:row>
      <xdr:rowOff>62901</xdr:rowOff>
    </xdr:to>
    <xdr:sp macro="" textlink="">
      <xdr:nvSpPr>
        <xdr:cNvPr id="36" name="TextBox 35">
          <a:extLst>
            <a:ext uri="{FF2B5EF4-FFF2-40B4-BE49-F238E27FC236}">
              <a16:creationId xmlns:a16="http://schemas.microsoft.com/office/drawing/2014/main" id="{599BF363-0BC5-48A0-ABD7-F1E45DCDC727}"/>
            </a:ext>
          </a:extLst>
        </xdr:cNvPr>
        <xdr:cNvSpPr txBox="1"/>
      </xdr:nvSpPr>
      <xdr:spPr>
        <a:xfrm>
          <a:off x="188703" y="2507053"/>
          <a:ext cx="1599481" cy="19768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Gender</a:t>
          </a:r>
          <a:r>
            <a:rPr lang="en-IN" sz="1200" baseline="0"/>
            <a:t> wise Analysis</a:t>
          </a:r>
          <a:endParaRPr lang="en-IN" sz="1200"/>
        </a:p>
      </xdr:txBody>
    </xdr:sp>
    <xdr:clientData/>
  </xdr:twoCellAnchor>
  <xdr:twoCellAnchor>
    <xdr:from>
      <xdr:col>3</xdr:col>
      <xdr:colOff>341462</xdr:colOff>
      <xdr:row>9</xdr:row>
      <xdr:rowOff>71888</xdr:rowOff>
    </xdr:from>
    <xdr:to>
      <xdr:col>7</xdr:col>
      <xdr:colOff>413350</xdr:colOff>
      <xdr:row>22</xdr:row>
      <xdr:rowOff>80873</xdr:rowOff>
    </xdr:to>
    <xdr:sp macro="" textlink="">
      <xdr:nvSpPr>
        <xdr:cNvPr id="38" name="Rectangle: Rounded Corners 37">
          <a:extLst>
            <a:ext uri="{FF2B5EF4-FFF2-40B4-BE49-F238E27FC236}">
              <a16:creationId xmlns:a16="http://schemas.microsoft.com/office/drawing/2014/main" id="{4A1EBCCF-A3A4-463E-892B-D4B5A8D7959E}"/>
            </a:ext>
          </a:extLst>
        </xdr:cNvPr>
        <xdr:cNvSpPr/>
      </xdr:nvSpPr>
      <xdr:spPr>
        <a:xfrm>
          <a:off x="2174575" y="1770213"/>
          <a:ext cx="2516039" cy="2462122"/>
        </a:xfrm>
        <a:prstGeom prst="roundRect">
          <a:avLst>
            <a:gd name="adj" fmla="val 7806"/>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116816</xdr:colOff>
      <xdr:row>14</xdr:row>
      <xdr:rowOff>107829</xdr:rowOff>
    </xdr:from>
    <xdr:to>
      <xdr:col>3</xdr:col>
      <xdr:colOff>0</xdr:colOff>
      <xdr:row>21</xdr:row>
      <xdr:rowOff>152759</xdr:rowOff>
    </xdr:to>
    <xdr:graphicFrame macro="">
      <xdr:nvGraphicFramePr>
        <xdr:cNvPr id="39" name="Chart 38">
          <a:extLst>
            <a:ext uri="{FF2B5EF4-FFF2-40B4-BE49-F238E27FC236}">
              <a16:creationId xmlns:a16="http://schemas.microsoft.com/office/drawing/2014/main" id="{1A9FF826-3FC4-41F7-82A3-798EB2963B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611037</xdr:colOff>
      <xdr:row>11</xdr:row>
      <xdr:rowOff>8987</xdr:rowOff>
    </xdr:from>
    <xdr:to>
      <xdr:col>11</xdr:col>
      <xdr:colOff>377405</xdr:colOff>
      <xdr:row>12</xdr:row>
      <xdr:rowOff>17972</xdr:rowOff>
    </xdr:to>
    <xdr:sp macro="" textlink="">
      <xdr:nvSpPr>
        <xdr:cNvPr id="42" name="TextBox 41">
          <a:extLst>
            <a:ext uri="{FF2B5EF4-FFF2-40B4-BE49-F238E27FC236}">
              <a16:creationId xmlns:a16="http://schemas.microsoft.com/office/drawing/2014/main" id="{2A267043-9A18-4D3D-A233-60C4539C3911}"/>
            </a:ext>
          </a:extLst>
        </xdr:cNvPr>
        <xdr:cNvSpPr txBox="1"/>
      </xdr:nvSpPr>
      <xdr:spPr>
        <a:xfrm>
          <a:off x="5499339" y="2084718"/>
          <a:ext cx="1599481" cy="19768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Patient</a:t>
          </a:r>
          <a:r>
            <a:rPr lang="en-IN" sz="1200" baseline="0"/>
            <a:t> Attend Status</a:t>
          </a:r>
          <a:endParaRPr lang="en-IN" sz="1200"/>
        </a:p>
      </xdr:txBody>
    </xdr:sp>
    <xdr:clientData/>
  </xdr:twoCellAnchor>
  <xdr:twoCellAnchor>
    <xdr:from>
      <xdr:col>3</xdr:col>
      <xdr:colOff>350448</xdr:colOff>
      <xdr:row>9</xdr:row>
      <xdr:rowOff>80872</xdr:rowOff>
    </xdr:from>
    <xdr:to>
      <xdr:col>7</xdr:col>
      <xdr:colOff>413349</xdr:colOff>
      <xdr:row>22</xdr:row>
      <xdr:rowOff>101360</xdr:rowOff>
    </xdr:to>
    <xdr:graphicFrame macro="">
      <xdr:nvGraphicFramePr>
        <xdr:cNvPr id="43" name="Chart 42">
          <a:extLst>
            <a:ext uri="{FF2B5EF4-FFF2-40B4-BE49-F238E27FC236}">
              <a16:creationId xmlns:a16="http://schemas.microsoft.com/office/drawing/2014/main" id="{9E4B697B-04FA-40B3-9A52-4A8CB47F0F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xdr:col>
      <xdr:colOff>26957</xdr:colOff>
      <xdr:row>9</xdr:row>
      <xdr:rowOff>107831</xdr:rowOff>
    </xdr:from>
    <xdr:to>
      <xdr:col>7</xdr:col>
      <xdr:colOff>287547</xdr:colOff>
      <xdr:row>10</xdr:row>
      <xdr:rowOff>170732</xdr:rowOff>
    </xdr:to>
    <xdr:sp macro="" textlink="">
      <xdr:nvSpPr>
        <xdr:cNvPr id="44" name="TextBox 43">
          <a:extLst>
            <a:ext uri="{FF2B5EF4-FFF2-40B4-BE49-F238E27FC236}">
              <a16:creationId xmlns:a16="http://schemas.microsoft.com/office/drawing/2014/main" id="{90B46939-16A4-4FB9-9AF0-40CC3564356E}"/>
            </a:ext>
          </a:extLst>
        </xdr:cNvPr>
        <xdr:cNvSpPr txBox="1"/>
      </xdr:nvSpPr>
      <xdr:spPr>
        <a:xfrm>
          <a:off x="2471108" y="1806156"/>
          <a:ext cx="2093703" cy="25160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No.</a:t>
          </a:r>
          <a:r>
            <a:rPr lang="en-IN" sz="1200" baseline="0"/>
            <a:t> of Patient by Department</a:t>
          </a:r>
          <a:endParaRPr lang="en-IN" sz="1200"/>
        </a:p>
      </xdr:txBody>
    </xdr:sp>
    <xdr:clientData/>
  </xdr:twoCellAnchor>
  <xdr:twoCellAnchor editAs="oneCell">
    <xdr:from>
      <xdr:col>3</xdr:col>
      <xdr:colOff>386392</xdr:colOff>
      <xdr:row>6</xdr:row>
      <xdr:rowOff>143774</xdr:rowOff>
    </xdr:from>
    <xdr:to>
      <xdr:col>7</xdr:col>
      <xdr:colOff>347309</xdr:colOff>
      <xdr:row>8</xdr:row>
      <xdr:rowOff>162368</xdr:rowOff>
    </xdr:to>
    <mc:AlternateContent xmlns:mc="http://schemas.openxmlformats.org/markup-compatibility/2006" xmlns:a14="http://schemas.microsoft.com/office/drawing/2010/main">
      <mc:Choice Requires="a14">
        <xdr:graphicFrame macro="">
          <xdr:nvGraphicFramePr>
            <xdr:cNvPr id="45" name="Date (Year)">
              <a:extLst>
                <a:ext uri="{FF2B5EF4-FFF2-40B4-BE49-F238E27FC236}">
                  <a16:creationId xmlns:a16="http://schemas.microsoft.com/office/drawing/2014/main" id="{7D3187A9-96D1-4CB3-866B-36100A57B19A}"/>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2219505" y="1275991"/>
              <a:ext cx="2405068" cy="39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62901</xdr:colOff>
      <xdr:row>6</xdr:row>
      <xdr:rowOff>107830</xdr:rowOff>
    </xdr:from>
    <xdr:to>
      <xdr:col>3</xdr:col>
      <xdr:colOff>269575</xdr:colOff>
      <xdr:row>13</xdr:row>
      <xdr:rowOff>8986</xdr:rowOff>
    </xdr:to>
    <mc:AlternateContent xmlns:mc="http://schemas.openxmlformats.org/markup-compatibility/2006" xmlns:a14="http://schemas.microsoft.com/office/drawing/2010/main">
      <mc:Choice Requires="a14">
        <xdr:graphicFrame macro="">
          <xdr:nvGraphicFramePr>
            <xdr:cNvPr id="46" name="Patient Race">
              <a:extLst>
                <a:ext uri="{FF2B5EF4-FFF2-40B4-BE49-F238E27FC236}">
                  <a16:creationId xmlns:a16="http://schemas.microsoft.com/office/drawing/2014/main" id="{54463201-2CD9-449C-ADA5-BC050B0895C7}"/>
                </a:ext>
              </a:extLst>
            </xdr:cNvPr>
            <xdr:cNvGraphicFramePr/>
          </xdr:nvGraphicFramePr>
          <xdr:xfrm>
            <a:off x="0" y="0"/>
            <a:ext cx="0" cy="0"/>
          </xdr:xfrm>
          <a:graphic>
            <a:graphicData uri="http://schemas.microsoft.com/office/drawing/2010/slicer">
              <sle:slicer xmlns:sle="http://schemas.microsoft.com/office/drawing/2010/slicer" name="Patient Race"/>
            </a:graphicData>
          </a:graphic>
        </xdr:graphicFrame>
      </mc:Choice>
      <mc:Fallback xmlns="">
        <xdr:sp macro="" textlink="">
          <xdr:nvSpPr>
            <xdr:cNvPr id="0" name=""/>
            <xdr:cNvSpPr>
              <a:spLocks noTextEdit="1"/>
            </xdr:cNvSpPr>
          </xdr:nvSpPr>
          <xdr:spPr>
            <a:xfrm>
              <a:off x="62901" y="1240047"/>
              <a:ext cx="2039787" cy="12220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8986</xdr:colOff>
      <xdr:row>0</xdr:row>
      <xdr:rowOff>25539</xdr:rowOff>
    </xdr:from>
    <xdr:to>
      <xdr:col>19</xdr:col>
      <xdr:colOff>278561</xdr:colOff>
      <xdr:row>3</xdr:row>
      <xdr:rowOff>134789</xdr:rowOff>
    </xdr:to>
    <xdr:pic>
      <xdr:nvPicPr>
        <xdr:cNvPr id="48" name="Picture 47">
          <a:extLst>
            <a:ext uri="{FF2B5EF4-FFF2-40B4-BE49-F238E27FC236}">
              <a16:creationId xmlns:a16="http://schemas.microsoft.com/office/drawing/2014/main" id="{D0E9C6D1-03B4-43CB-8F57-29AD43D44830}"/>
            </a:ext>
          </a:extLst>
        </xdr:cNvPr>
        <xdr:cNvPicPr>
          <a:picLocks noChangeAspect="1"/>
        </xdr:cNvPicPr>
      </xdr:nvPicPr>
      <xdr:blipFill rotWithShape="1">
        <a:blip xmlns:r="http://schemas.openxmlformats.org/officeDocument/2006/relationships" r:embed="rId19" cstate="print">
          <a:extLst>
            <a:ext uri="{28A0092B-C50C-407E-A947-70E740481C1C}">
              <a14:useLocalDpi xmlns:a14="http://schemas.microsoft.com/office/drawing/2010/main" val="0"/>
            </a:ext>
          </a:extLst>
        </a:blip>
        <a:srcRect l="22598" t="11112" r="22702" b="13333"/>
        <a:stretch/>
      </xdr:blipFill>
      <xdr:spPr>
        <a:xfrm>
          <a:off x="11007665" y="25539"/>
          <a:ext cx="880613" cy="67535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209550</xdr:colOff>
      <xdr:row>3</xdr:row>
      <xdr:rowOff>47625</xdr:rowOff>
    </xdr:from>
    <xdr:to>
      <xdr:col>12</xdr:col>
      <xdr:colOff>38100</xdr:colOff>
      <xdr:row>26</xdr:row>
      <xdr:rowOff>19048</xdr:rowOff>
    </xdr:to>
    <xdr:graphicFrame macro="">
      <xdr:nvGraphicFramePr>
        <xdr:cNvPr id="2" name="Chart 1">
          <a:extLst>
            <a:ext uri="{FF2B5EF4-FFF2-40B4-BE49-F238E27FC236}">
              <a16:creationId xmlns:a16="http://schemas.microsoft.com/office/drawing/2014/main" id="{367BE6AC-FBF2-4805-A47B-45EB98DEA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409575</xdr:colOff>
      <xdr:row>3</xdr:row>
      <xdr:rowOff>180976</xdr:rowOff>
    </xdr:from>
    <xdr:to>
      <xdr:col>1</xdr:col>
      <xdr:colOff>295275</xdr:colOff>
      <xdr:row>5</xdr:row>
      <xdr:rowOff>161926</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D19E0E75-D8E2-456E-8848-EB3CB424E9E4}"/>
            </a:ext>
          </a:extLst>
        </xdr:cNvPr>
        <xdr:cNvSpPr/>
      </xdr:nvSpPr>
      <xdr:spPr>
        <a:xfrm>
          <a:off x="409575" y="752476"/>
          <a:ext cx="495300" cy="361950"/>
        </a:xfrm>
        <a:prstGeom prst="rect">
          <a:avLst/>
        </a:prstGeom>
        <a:blipFill dpi="0" rotWithShape="1">
          <a:blip xmlns:r="http://schemas.openxmlformats.org/officeDocument/2006/relationships" r:embed="rId3" cstate="print">
            <a:extLst>
              <a:ext uri="{BEBA8EAE-BF5A-486C-A8C5-ECC9F3942E4B}">
                <a14:imgProps xmlns:a14="http://schemas.microsoft.com/office/drawing/2010/main">
                  <a14:imgLayer r:embed="rId4">
                    <a14:imgEffect>
                      <a14:brightnessContrast bright="-20000" contrast="40000"/>
                    </a14:imgEffect>
                  </a14:imgLayer>
                </a14:imgProps>
              </a:ext>
              <a:ext uri="{28A0092B-C50C-407E-A947-70E740481C1C}">
                <a14:useLocalDpi xmlns:a14="http://schemas.microsoft.com/office/drawing/2010/main" val="0"/>
              </a:ext>
            </a:extLst>
          </a:blip>
          <a:srcRect/>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285750</xdr:colOff>
      <xdr:row>26</xdr:row>
      <xdr:rowOff>85725</xdr:rowOff>
    </xdr:from>
    <xdr:to>
      <xdr:col>13</xdr:col>
      <xdr:colOff>323850</xdr:colOff>
      <xdr:row>28</xdr:row>
      <xdr:rowOff>9525</xdr:rowOff>
    </xdr:to>
    <xdr:sp macro="" textlink="">
      <xdr:nvSpPr>
        <xdr:cNvPr id="4" name="TextBox 3">
          <a:extLst>
            <a:ext uri="{FF2B5EF4-FFF2-40B4-BE49-F238E27FC236}">
              <a16:creationId xmlns:a16="http://schemas.microsoft.com/office/drawing/2014/main" id="{522DE56C-D5C8-403F-86FC-7B63FABEAFCF}"/>
            </a:ext>
          </a:extLst>
        </xdr:cNvPr>
        <xdr:cNvSpPr txBox="1"/>
      </xdr:nvSpPr>
      <xdr:spPr>
        <a:xfrm>
          <a:off x="285750" y="5038725"/>
          <a:ext cx="7962900" cy="3048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Showing</a:t>
          </a:r>
          <a:r>
            <a:rPr lang="en-IN" sz="1400" baseline="0"/>
            <a:t> a daily trend with an area sparktime to spot patterns like busy days of seasonal trends.</a:t>
          </a:r>
          <a:endParaRPr lang="en-IN" sz="14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xdr:colOff>
      <xdr:row>3</xdr:row>
      <xdr:rowOff>161925</xdr:rowOff>
    </xdr:from>
    <xdr:to>
      <xdr:col>13</xdr:col>
      <xdr:colOff>276226</xdr:colOff>
      <xdr:row>26</xdr:row>
      <xdr:rowOff>0</xdr:rowOff>
    </xdr:to>
    <xdr:graphicFrame macro="">
      <xdr:nvGraphicFramePr>
        <xdr:cNvPr id="2" name="Chart 1">
          <a:extLst>
            <a:ext uri="{FF2B5EF4-FFF2-40B4-BE49-F238E27FC236}">
              <a16:creationId xmlns:a16="http://schemas.microsoft.com/office/drawing/2014/main" id="{3C51D5C8-2A81-4A0C-A1FC-8A8BBAC86A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485775</xdr:colOff>
      <xdr:row>26</xdr:row>
      <xdr:rowOff>47625</xdr:rowOff>
    </xdr:from>
    <xdr:to>
      <xdr:col>13</xdr:col>
      <xdr:colOff>466725</xdr:colOff>
      <xdr:row>27</xdr:row>
      <xdr:rowOff>152400</xdr:rowOff>
    </xdr:to>
    <xdr:sp macro="" textlink="">
      <xdr:nvSpPr>
        <xdr:cNvPr id="4" name="TextBox 3">
          <a:extLst>
            <a:ext uri="{FF2B5EF4-FFF2-40B4-BE49-F238E27FC236}">
              <a16:creationId xmlns:a16="http://schemas.microsoft.com/office/drawing/2014/main" id="{8FD50995-80FD-4B4A-B60F-201FF8C7F7F3}"/>
            </a:ext>
          </a:extLst>
        </xdr:cNvPr>
        <xdr:cNvSpPr txBox="1"/>
      </xdr:nvSpPr>
      <xdr:spPr>
        <a:xfrm>
          <a:off x="485775" y="5000625"/>
          <a:ext cx="7905750" cy="29527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Use an area</a:t>
          </a:r>
          <a:r>
            <a:rPr lang="en-IN" sz="1100" baseline="0"/>
            <a:t> chart to track daily changes and highlight days with longer wait times that might need improvernments.</a:t>
          </a:r>
          <a:endParaRPr lang="en-IN" sz="1100"/>
        </a:p>
      </xdr:txBody>
    </xdr:sp>
    <xdr:clientData/>
  </xdr:twoCellAnchor>
  <xdr:twoCellAnchor>
    <xdr:from>
      <xdr:col>0</xdr:col>
      <xdr:colOff>219808</xdr:colOff>
      <xdr:row>4</xdr:row>
      <xdr:rowOff>167473</xdr:rowOff>
    </xdr:from>
    <xdr:to>
      <xdr:col>1</xdr:col>
      <xdr:colOff>108020</xdr:colOff>
      <xdr:row>6</xdr:row>
      <xdr:rowOff>152609</xdr:rowOff>
    </xdr:to>
    <xdr:sp macro="" textlink="">
      <xdr:nvSpPr>
        <xdr:cNvPr id="11" name="Rectangle 10">
          <a:hlinkClick xmlns:r="http://schemas.openxmlformats.org/officeDocument/2006/relationships" r:id="rId2"/>
          <a:extLst>
            <a:ext uri="{FF2B5EF4-FFF2-40B4-BE49-F238E27FC236}">
              <a16:creationId xmlns:a16="http://schemas.microsoft.com/office/drawing/2014/main" id="{1CDAD3B6-69F4-466D-BC61-51938432F01C}"/>
            </a:ext>
          </a:extLst>
        </xdr:cNvPr>
        <xdr:cNvSpPr/>
      </xdr:nvSpPr>
      <xdr:spPr>
        <a:xfrm>
          <a:off x="219808" y="921099"/>
          <a:ext cx="495300" cy="361950"/>
        </a:xfrm>
        <a:prstGeom prst="rect">
          <a:avLst/>
        </a:prstGeom>
        <a:blipFill dpi="0" rotWithShape="1">
          <a:blip xmlns:r="http://schemas.openxmlformats.org/officeDocument/2006/relationships" r:embed="rId3" cstate="print">
            <a:extLst>
              <a:ext uri="{BEBA8EAE-BF5A-486C-A8C5-ECC9F3942E4B}">
                <a14:imgProps xmlns:a14="http://schemas.microsoft.com/office/drawing/2010/main">
                  <a14:imgLayer r:embed="rId4">
                    <a14:imgEffect>
                      <a14:brightnessContrast bright="-20000" contrast="40000"/>
                    </a14:imgEffect>
                  </a14:imgLayer>
                </a14:imgProps>
              </a:ext>
              <a:ext uri="{28A0092B-C50C-407E-A947-70E740481C1C}">
                <a14:useLocalDpi xmlns:a14="http://schemas.microsoft.com/office/drawing/2010/main" val="0"/>
              </a:ext>
            </a:extLst>
          </a:blip>
          <a:srcRect/>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76200</xdr:colOff>
      <xdr:row>2</xdr:row>
      <xdr:rowOff>66675</xdr:rowOff>
    </xdr:from>
    <xdr:to>
      <xdr:col>11</xdr:col>
      <xdr:colOff>38100</xdr:colOff>
      <xdr:row>24</xdr:row>
      <xdr:rowOff>180975</xdr:rowOff>
    </xdr:to>
    <xdr:graphicFrame macro="">
      <xdr:nvGraphicFramePr>
        <xdr:cNvPr id="2" name="Chart 1">
          <a:extLst>
            <a:ext uri="{FF2B5EF4-FFF2-40B4-BE49-F238E27FC236}">
              <a16:creationId xmlns:a16="http://schemas.microsoft.com/office/drawing/2014/main" id="{093A048D-A51D-455B-BD22-1D43C604C7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76199</xdr:colOff>
      <xdr:row>24</xdr:row>
      <xdr:rowOff>171450</xdr:rowOff>
    </xdr:from>
    <xdr:ext cx="6858001" cy="264560"/>
    <xdr:sp macro="" textlink="">
      <xdr:nvSpPr>
        <xdr:cNvPr id="3" name="TextBox 2">
          <a:extLst>
            <a:ext uri="{FF2B5EF4-FFF2-40B4-BE49-F238E27FC236}">
              <a16:creationId xmlns:a16="http://schemas.microsoft.com/office/drawing/2014/main" id="{DEC77263-1D1B-4A04-9F63-B9C259F8F577}"/>
            </a:ext>
          </a:extLst>
        </xdr:cNvPr>
        <xdr:cNvSpPr txBox="1"/>
      </xdr:nvSpPr>
      <xdr:spPr>
        <a:xfrm>
          <a:off x="76199" y="4743450"/>
          <a:ext cx="68580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Use an area chart to track</a:t>
          </a:r>
          <a:r>
            <a:rPr lang="en-IN" sz="1100" baseline="0"/>
            <a:t> daily changes and highlight days with longer wait times that might need improvements.</a:t>
          </a:r>
          <a:endParaRPr lang="en-IN" sz="1100"/>
        </a:p>
      </xdr:txBody>
    </xdr:sp>
    <xdr:clientData/>
  </xdr:oneCellAnchor>
  <xdr:twoCellAnchor>
    <xdr:from>
      <xdr:col>10</xdr:col>
      <xdr:colOff>38100</xdr:colOff>
      <xdr:row>3</xdr:row>
      <xdr:rowOff>9525</xdr:rowOff>
    </xdr:from>
    <xdr:to>
      <xdr:col>10</xdr:col>
      <xdr:colOff>533400</xdr:colOff>
      <xdr:row>4</xdr:row>
      <xdr:rowOff>180975</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75E87F6D-6424-43BF-9D32-C926F1020499}"/>
            </a:ext>
          </a:extLst>
        </xdr:cNvPr>
        <xdr:cNvSpPr/>
      </xdr:nvSpPr>
      <xdr:spPr>
        <a:xfrm>
          <a:off x="6134100" y="581025"/>
          <a:ext cx="495300" cy="361950"/>
        </a:xfrm>
        <a:prstGeom prst="rect">
          <a:avLst/>
        </a:prstGeom>
        <a:blipFill dpi="0" rotWithShape="1">
          <a:blip xmlns:r="http://schemas.openxmlformats.org/officeDocument/2006/relationships" r:embed="rId3" cstate="print">
            <a:extLst>
              <a:ext uri="{BEBA8EAE-BF5A-486C-A8C5-ECC9F3942E4B}">
                <a14:imgProps xmlns:a14="http://schemas.microsoft.com/office/drawing/2010/main">
                  <a14:imgLayer r:embed="rId4">
                    <a14:imgEffect>
                      <a14:brightnessContrast bright="-20000" contrast="40000"/>
                    </a14:imgEffect>
                  </a14:imgLayer>
                </a14:imgProps>
              </a:ext>
              <a:ext uri="{28A0092B-C50C-407E-A947-70E740481C1C}">
                <a14:useLocalDpi xmlns:a14="http://schemas.microsoft.com/office/drawing/2010/main" val="0"/>
              </a:ext>
            </a:extLst>
          </a:blip>
          <a:srcRect/>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44.389488194443" createdVersion="5" refreshedVersion="7" minRefreshableVersion="3" recordCount="0" supportSubquery="1" supportAdvancedDrill="1" xr:uid="{5EE8ADF3-2617-462D-AC16-2FC12A65826F}">
  <cacheSource type="external" connectionId="3"/>
  <cacheFields count="3">
    <cacheField name="[Measures].[Distinct Count of Patient Id]" caption="Distinct Count of Patient Id" numFmtId="0" hierarchy="24" level="32767"/>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44.38948888889" createdVersion="5" refreshedVersion="7" minRefreshableVersion="3" recordCount="0" supportSubquery="1" supportAdvancedDrill="1" xr:uid="{11114C2D-E040-450D-B539-A193639491CE}">
  <cacheSource type="external" connectionId="3"/>
  <cacheFields count="2">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44.38948946759" createdVersion="5" refreshedVersion="7" minRefreshableVersion="3" recordCount="0" supportSubquery="1" supportAdvancedDrill="1" xr:uid="{95E6D88F-08B1-4BF7-A7DE-6F149D6C3137}">
  <cacheSource type="external" connectionId="3"/>
  <cacheFields count="2">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44.389489930552" createdVersion="5" refreshedVersion="7" minRefreshableVersion="3" recordCount="0" supportSubquery="1" supportAdvancedDrill="1" xr:uid="{EF902AD6-5EDD-4CDD-87E8-FCF99562C69C}">
  <cacheSource type="external" connectionId="3"/>
  <cacheFields count="2">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44.389490856483" createdVersion="5" refreshedVersion="7" minRefreshableVersion="3" recordCount="0" supportSubquery="1" supportAdvancedDrill="1" xr:uid="{67523C87-D33E-462E-BFC3-CB0E3ED8E29C}">
  <cacheSource type="external" connectionId="3"/>
  <cacheFields count="3">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44.389491898146" createdVersion="5" refreshedVersion="7" minRefreshableVersion="3" recordCount="0" supportSubquery="1" supportAdvancedDrill="1" xr:uid="{DDCCB8AD-21F5-4742-85D7-BB648AAC83A1}">
  <cacheSource type="external" connectionId="3"/>
  <cacheFields count="3">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44.389492708331" createdVersion="5" refreshedVersion="7" minRefreshableVersion="3" recordCount="0" supportSubquery="1" supportAdvancedDrill="1" xr:uid="{E76CA32E-BCE2-4EC9-A556-51FE0B421949}">
  <cacheSource type="external" connectionId="3"/>
  <cacheFields count="4">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44.389493634262" createdVersion="5" refreshedVersion="7" minRefreshableVersion="3" recordCount="0" supportSubquery="1" supportAdvancedDrill="1" xr:uid="{6687219C-43AF-461A-A0D6-ADCFC869D69B}">
  <cacheSource type="external" connectionId="3"/>
  <cacheFields count="3">
    <cacheField name="[Calendar_Table].[Date (Month)].[Date (Month)]" caption="Date (Month)" numFmtId="0" hierarchy="1" level="1">
      <sharedItems containsSemiMixedTypes="0" containsNonDate="0" containsString="0"/>
    </cacheField>
    <cacheField name="[Hospital Emergency Room Data].[Age_Group].[Age_Group]" caption="Age_Group" numFmtId="0" hierarchy="16" level="1">
      <sharedItems count="8">
        <s v="0-9"/>
        <s v="10-19"/>
        <s v="20-29"/>
        <s v="30-39"/>
        <s v="40-49"/>
        <s v="50-59"/>
        <s v="60-69"/>
        <s v="70-79"/>
      </sharedItems>
    </cacheField>
    <cacheField name="[Measures].[Count of Age_Group]" caption="Count of Age_Group" numFmtId="0" hierarchy="31"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44.389494444447" createdVersion="5" refreshedVersion="7" minRefreshableVersion="3" recordCount="0" supportSubquery="1" supportAdvancedDrill="1" xr:uid="{25FD13B5-BA2A-48B2-8148-107D49F81228}">
  <cacheSource type="external" connectionId="3"/>
  <cacheFields count="3">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29"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44.389495138887" createdVersion="5" refreshedVersion="7" minRefreshableVersion="3" recordCount="0" supportSubquery="1" supportAdvancedDrill="1" xr:uid="{68CA4BEB-DA79-4B30-9D45-0AB425D4D6C5}">
  <cacheSource type="external" connectionId="3"/>
  <cacheFields count="3">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44.389495833333" createdVersion="5" refreshedVersion="7" minRefreshableVersion="3" recordCount="0" supportSubquery="1" supportAdvancedDrill="1" xr:uid="{1384A028-64A3-4CA1-B1DF-82FC910FD917}">
  <cacheSource type="external" connectionId="3"/>
  <cacheFields count="3">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44.389496759257" createdVersion="5" refreshedVersion="7" minRefreshableVersion="3" recordCount="0" supportSubquery="1" supportAdvancedDrill="1" xr:uid="{DCC2F17A-F73E-40B6-B265-C27EFF54F1DD}">
  <cacheSource type="external" connectionId="3"/>
  <cacheFields count="4">
    <cacheField name="[Calendar_Table].[Date (Month)].[Date (Month)]" caption="Date (Month)" numFmtId="0" hierarchy="1" level="1">
      <sharedItems containsNonDate="0" count="1">
        <s v="Aug"/>
      </sharedItems>
    </cacheField>
    <cacheField name="[Calendar_Table].[Date].[Date]" caption="Date" numFmtId="0" level="1">
      <sharedItems containsSemiMixedTypes="0" containsNonDate="0" containsDate="1" containsString="0" minDate="2023-08-01T00:00:00" maxDate="2024-09-01T00:00:00" count="62">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sharedItems>
    </cacheField>
    <cacheField name="[Calendar_Table].[Date (Quarter)].[Date (Quarter)]" caption="Date (Quarter)" numFmtId="0" hierarchy="4" level="1">
      <sharedItems containsNonDate="0" count="1">
        <s v="Qtr3"/>
      </sharedItems>
    </cacheField>
    <cacheField name="[Calendar_Table].[Date (Year)].[Date (Year)]" caption="Date (Year)" numFmtId="0" hierarchy="3" level="1">
      <sharedItems count="2">
        <s v="2023"/>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44.389497337965" createdVersion="5" refreshedVersion="7" minRefreshableVersion="3" recordCount="0" supportSubquery="1" supportAdvancedDrill="1" xr:uid="{CB513BF6-4649-4F1D-A4D6-9D7C2D933B3C}">
  <cacheSource type="external" connectionId="3"/>
  <cacheFields count="2">
    <cacheField name="[Calendar_Table].[Date (Month)].[Date (Month)]" caption="Date (Month)" numFmtId="0" hierarchy="1" level="1">
      <sharedItems containsSemiMixedTypes="0" containsNonDate="0" containsString="0"/>
    </cacheField>
    <cacheField name="[Hospital Emergency Room Data].[Patient Race].[Patient Race]" caption="Patient Race" numFmtId="0" hierarchy="11" level="1">
      <sharedItems count="7">
        <s v="African American"/>
        <s v="Asian"/>
        <s v="Declined to Identify"/>
        <s v="Native American/Alaska Native"/>
        <s v="Pacific Islander"/>
        <s v="Two or More Races"/>
        <s v="White"/>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fieldsUsage count="2">
        <fieldUsage x="-1"/>
        <fieldUsage x="1"/>
      </fieldsUsage>
    </cacheHierarchy>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44.374304050929" createdVersion="3" refreshedVersion="7" minRefreshableVersion="3" recordCount="0" supportSubquery="1" supportAdvancedDrill="1" xr:uid="{EFECFC29-B477-47D0-B909-A537F56B8F01}">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5200946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52E562-FE8B-41CA-88B6-B4265DA562BC}" name="PivotTable3" cacheId="3" applyNumberFormats="0" applyBorderFormats="0" applyFontFormats="0" applyPatternFormats="0" applyAlignmentFormats="0" applyWidthHeightFormats="1" dataCaption="Values" tag="a4a99801-a75d-4745-b14d-ab0907658fd9" updatedVersion="7" minRefreshableVersion="3" subtotalHiddenItems="1" itemPrintTitles="1" createdVersion="5"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0">
      <pivotArea outline="0" collapsedLevelsAreSubtotals="1" fieldPosition="0"/>
    </format>
  </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AE85F6-8DF2-4592-AAA1-A9D90C2F1BC6}" name="PivotTable10" cacheId="9" applyNumberFormats="0" applyBorderFormats="0" applyFontFormats="0" applyPatternFormats="0" applyAlignmentFormats="0" applyWidthHeightFormats="1" dataCaption="Values" tag="a4a99801-a75d-4745-b14d-ab0907658fd9" updatedVersion="7" minRefreshableVersion="3" subtotalHiddenItems="1" rowGrandTotals="0" colGrandTotals="0" itemPrintTitles="1" createdVersion="5" indent="0" outline="1" outlineData="1" multipleFieldFilters="0" chartFormat="13">
  <location ref="D56:E58"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2">
    <i>
      <x/>
    </i>
    <i>
      <x v="1"/>
    </i>
  </rowItems>
  <colItems count="1">
    <i/>
  </colItems>
  <dataFields count="1">
    <dataField name="Count of Patient Gender" fld="2" subtotal="count" baseField="0" baseItem="0"/>
  </dataFields>
  <formats count="1">
    <format dxfId="1">
      <pivotArea outline="0" collapsedLevelsAreSubtotals="1" fieldPosition="0"/>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2E3661-9AE8-420B-912F-88ACE570500F}" name="PivotTable7" cacheId="6" applyNumberFormats="0" applyBorderFormats="0" applyFontFormats="0" applyPatternFormats="0" applyAlignmentFormats="0" applyWidthHeightFormats="1" dataCaption="Values" tag="a4a99801-a75d-4745-b14d-ab0907658fd9" updatedVersion="7" minRefreshableVersion="3" subtotalHiddenItems="1" rowGrandTotals="0" colGrandTotals="0" itemPrintTitles="1" createdVersion="5" indent="0" outline="1" outlineData="1" multipleFieldFilters="0" chartFormat="2">
  <location ref="A39:C41" firstHeaderRow="0"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2">
    <i>
      <x/>
    </i>
    <i>
      <x v="1"/>
    </i>
  </rowItems>
  <colFields count="1">
    <field x="-2"/>
  </colFields>
  <colItems count="2">
    <i>
      <x/>
    </i>
    <i i="1">
      <x v="1"/>
    </i>
  </colItems>
  <dataFields count="2">
    <dataField name="Count of Patient Admission Flag" fld="1"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3">
      <pivotArea outline="0" collapsedLevelsAreSubtotals="1" fieldPosition="0"/>
    </format>
    <format dxfId="2">
      <pivotArea outline="0" fieldPosition="0">
        <references count="1">
          <reference field="4294967294"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4">
      <pivotArea type="data" outline="0" fieldPosition="0">
        <references count="2">
          <reference field="4294967294" count="1" selected="0">
            <x v="0"/>
          </reference>
          <reference field="2" count="1" selected="0">
            <x v="0"/>
          </reference>
        </references>
      </pivotArea>
    </chartFormat>
    <chartFormat chart="1" format="5">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CB0E9D-C037-4FD1-9B2E-FB5E529676F2}" name="PivotTable9" cacheId="8" applyNumberFormats="0" applyBorderFormats="0" applyFontFormats="0" applyPatternFormats="0" applyAlignmentFormats="0" applyWidthHeightFormats="1" dataCaption="Values" tag="a4a99801-a75d-4745-b14d-ab0907658fd9" updatedVersion="7" minRefreshableVersion="3" subtotalHiddenItems="1" rowGrandTotals="0" colGrandTotals="0" itemPrintTitles="1" createdVersion="5" indent="0" outline="1" outlineData="1" multipleFieldFilters="0" chartFormat="8">
  <location ref="D51:E53"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2">
    <i>
      <x/>
    </i>
    <i>
      <x v="1"/>
    </i>
  </rowItems>
  <colItems count="1">
    <i/>
  </colItems>
  <dataFields count="1">
    <dataField name="Count of Patient Attend Status" fld="2" subtotal="count" baseField="0" baseItem="0"/>
  </dataFields>
  <formats count="1">
    <format dxfId="4">
      <pivotArea outline="0" collapsedLevelsAreSubtotals="1" fieldPosition="0"/>
    </format>
  </format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4484A8-8778-4E69-B325-F177A75CC05A}" name="PivotTable6" cacheId="5" applyNumberFormats="0" applyBorderFormats="0" applyFontFormats="0" applyPatternFormats="0" applyAlignmentFormats="0" applyWidthHeightFormats="1" dataCaption="Values" tag="02ac1521-6917-4141-9415-f73f360134d0" updatedVersion="7" minRefreshableVersion="3" subtotalHiddenItems="1" itemPrintTitles="1" createdVersion="5" indent="0" outline="1" outlineData="1" multipleFieldFilters="0" chartFormat="17">
  <location ref="I4:J36"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2">
    <format dxfId="6">
      <pivotArea outline="0" collapsedLevelsAreSubtotals="1" fieldPosition="0"/>
    </format>
    <format dxfId="5">
      <pivotArea outline="0" collapsedLevelsAreSubtotals="1" fieldPosition="0"/>
    </format>
  </formats>
  <chartFormats count="3">
    <chartFormat chart="13"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96CB5A-FA62-40DC-863C-AD299E04ED94}" name="PivotTable8" cacheId="7" applyNumberFormats="0" applyBorderFormats="0" applyFontFormats="0" applyPatternFormats="0" applyAlignmentFormats="0" applyWidthHeightFormats="1" dataCaption="Values" tag="a4a99801-a75d-4745-b14d-ab0907658fd9" updatedVersion="7" minRefreshableVersion="3" subtotalHiddenItems="1" rowGrandTotals="0" colGrandTotals="0" itemPrintTitles="1" createdVersion="5" indent="0" outline="1" outlineData="1" multipleFieldFilters="0" chartFormat="5">
  <location ref="A51:B59"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8">
    <i>
      <x/>
    </i>
    <i>
      <x v="1"/>
    </i>
    <i>
      <x v="2"/>
    </i>
    <i>
      <x v="3"/>
    </i>
    <i>
      <x v="4"/>
    </i>
    <i>
      <x v="5"/>
    </i>
    <i>
      <x v="6"/>
    </i>
    <i>
      <x v="7"/>
    </i>
  </rowItems>
  <colItems count="1">
    <i/>
  </colItems>
  <dataFields count="1">
    <dataField name="Count of Age_Group" fld="2" subtotal="count" baseField="0" baseItem="0" numFmtId="1"/>
  </dataFields>
  <formats count="1">
    <format dxfId="7">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B55A8D-063B-4ED6-969D-8FE49028D431}" name="PivotTable15" cacheId="12" applyNumberFormats="0" applyBorderFormats="0" applyFontFormats="0" applyPatternFormats="0" applyAlignmentFormats="0" applyWidthHeightFormats="1" dataCaption="Values" tag="a4a99801-a75d-4745-b14d-ab0907658fd9" updatedVersion="7" minRefreshableVersion="3" subtotalHiddenItems="1" rowGrandTotals="0" colGrandTotals="0" itemPrintTitles="1" createdVersion="5" indent="0" outline="1" outlineData="1" multipleFieldFilters="0" chartFormat="13">
  <location ref="A67:A74"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s>
  <rowFields count="1">
    <field x="1"/>
  </rowFields>
  <rowItems count="7">
    <i>
      <x/>
    </i>
    <i>
      <x v="1"/>
    </i>
    <i>
      <x v="2"/>
    </i>
    <i>
      <x v="3"/>
    </i>
    <i>
      <x v="4"/>
    </i>
    <i>
      <x v="5"/>
    </i>
    <i>
      <x v="6"/>
    </i>
  </rowItems>
  <formats count="1">
    <format dxfId="8">
      <pivotArea outline="0" collapsedLevelsAreSubtotals="1" fieldPosition="0"/>
    </format>
  </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65E1E5-89D6-4B1F-A834-853038380E76}" name="PivotTable13" cacheId="11" applyNumberFormats="0" applyBorderFormats="0" applyFontFormats="0" applyPatternFormats="0" applyAlignmentFormats="0" applyWidthHeightFormats="1" dataCaption="Values" tag="a4a99801-a75d-4745-b14d-ab0907658fd9" updatedVersion="7" minRefreshableVersion="3" subtotalHiddenItems="1" rowGrandTotals="0" colGrandTotals="0" itemPrintTitles="1" createdVersion="5" indent="0" outline="1" outlineData="1" multipleFieldFilters="0" chartFormat="13">
  <location ref="A62:A64"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2">
        <item x="0" e="0"/>
        <item x="1" e="0"/>
      </items>
    </pivotField>
  </pivotFields>
  <rowFields count="4">
    <field x="3"/>
    <field x="2"/>
    <field x="0"/>
    <field x="1"/>
  </rowFields>
  <rowItems count="2">
    <i>
      <x/>
    </i>
    <i>
      <x v="1"/>
    </i>
  </rowItems>
  <formats count="1">
    <format dxfId="9">
      <pivotArea outline="0" collapsedLevelsAreSubtotals="1" fieldPosition="0"/>
    </format>
  </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E7DD790-F8ED-4E50-A6BA-046CD6BEEFA5}" name="PivotTable2" cacheId="2" applyNumberFormats="0" applyBorderFormats="0" applyFontFormats="0" applyPatternFormats="0" applyAlignmentFormats="0" applyWidthHeightFormats="1" dataCaption="Values" tag="bb20381f-eba6-4583-8ece-c87186fa4924" updatedVersion="7" minRefreshableVersion="3" subtotalHiddenItems="1" itemPrintTitles="1" createdVersion="5"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0">
      <pivotArea outline="0" collapsedLevelsAreSubtotals="1" fieldPosition="0"/>
    </format>
  </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FBA695B-A27C-4E46-B08D-25B9C964FFE2}" name="PivotTable1" cacheId="1" applyNumberFormats="0" applyBorderFormats="0" applyFontFormats="0" applyPatternFormats="0" applyAlignmentFormats="0" applyWidthHeightFormats="1" dataCaption="Values" tag="d38b8e8e-d289-4d5b-b6a6-9fd15f629210" updatedVersion="7" minRefreshableVersion="3" subtotalHiddenItems="1"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1">
    <format dxfId="11">
      <pivotArea outline="0" collapsedLevelsAreSubtotals="1" fieldPosition="0"/>
    </format>
  </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27BC01C-6E89-439A-8FF3-44ACE6808203}" name="PivotTable11" cacheId="10" applyNumberFormats="0" applyBorderFormats="0" applyFontFormats="0" applyPatternFormats="0" applyAlignmentFormats="0" applyWidthHeightFormats="1" dataCaption="Values" tag="a4a99801-a75d-4745-b14d-ab0907658fd9" updatedVersion="7" minRefreshableVersion="3" subtotalHiddenItems="1" rowGrandTotals="0" colGrandTotals="0" itemPrintTitles="1" createdVersion="5" indent="0" outline="1" outlineData="1" multipleFieldFilters="0" chartFormat="16">
  <location ref="D61:E69"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8">
    <i>
      <x/>
    </i>
    <i>
      <x v="1"/>
    </i>
    <i>
      <x v="2"/>
    </i>
    <i>
      <x v="3"/>
    </i>
    <i>
      <x v="4"/>
    </i>
    <i>
      <x v="5"/>
    </i>
    <i>
      <x v="6"/>
    </i>
    <i>
      <x v="7"/>
    </i>
  </rowItems>
  <colItems count="1">
    <i/>
  </colItems>
  <dataFields count="1">
    <dataField name="Count of Department Referral" fld="2" subtotal="count" baseField="0" baseItem="0"/>
  </dataFields>
  <formats count="1">
    <format dxfId="12">
      <pivotArea outline="0" collapsedLevelsAreSubtotals="1" fieldPosition="0"/>
    </format>
  </formats>
  <chartFormats count="1">
    <chartFormat chart="1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A39CCA5-D541-490B-A8C5-90B74247803D}" name="PivotTable5" cacheId="4" applyNumberFormats="0" applyBorderFormats="0" applyFontFormats="0" applyPatternFormats="0" applyAlignmentFormats="0" applyWidthHeightFormats="1" dataCaption="Values" tag="02ac1521-6917-4141-9415-f73f360134d0" updatedVersion="7" minRefreshableVersion="3" subtotalHiddenItems="1" itemPrintTitles="1" createdVersion="5" indent="0" outline="1" outlineData="1" multipleFieldFilters="0" chartFormat="11">
  <location ref="F4:G36"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2">
    <format dxfId="14">
      <pivotArea outline="0" collapsedLevelsAreSubtotals="1" fieldPosition="0"/>
    </format>
    <format dxfId="13">
      <pivotArea outline="0" collapsedLevelsAreSubtotals="1" fieldPosition="0"/>
    </format>
  </formats>
  <chartFormats count="2">
    <chartFormat chart="7"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13F1716-EA91-4FA5-A41F-55C34EFBB7AC}" name="PivotTable4" cacheId="0" applyNumberFormats="0" applyBorderFormats="0" applyFontFormats="0" applyPatternFormats="0" applyAlignmentFormats="0" applyWidthHeightFormats="1" dataCaption="Values" tag="02ac1521-6917-4141-9415-f73f360134d0" updatedVersion="7" minRefreshableVersion="3" subtotalHiddenItems="1" itemPrintTitles="1" createdVersion="5" indent="0" outline="1" outlineData="1" multipleFieldFilters="0" chartFormat="5">
  <location ref="C4:D36" firstHeaderRow="1" firstDataRow="1" firstDataCol="1"/>
  <pivotFields count="3">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1">
    <format dxfId="15">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4D7B35D-86BD-4F9F-9E1B-4B68FB95D83C}"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3"/>
    <pivotTable tabId="1" name="PivotTable15"/>
  </pivotTables>
  <data>
    <olap pivotCacheId="1520094681">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142C2973-F7F3-4DE4-81D5-B1D56E7E3C6B}" sourceName="[Calendar_Table].[Date (Year)]">
  <pivotTables>
    <pivotTable tabId="1" name="PivotTable13"/>
    <pivotTable tabId="1" name="PivotTable15"/>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520094681">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Race" xr10:uid="{8F7C4112-A32A-4621-9AE1-5730E783C0DC}" sourceName="[Hospital Emergency Room Data].[Patient Race]">
  <pivotTables>
    <pivotTable tabId="1" name="PivotTable15"/>
    <pivotTable tabId="1" name="PivotTable1"/>
    <pivotTable tabId="1" name="PivotTable10"/>
    <pivotTable tabId="1" name="PivotTable11"/>
    <pivotTable tabId="1" name="PivotTable13"/>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520094681">
      <levels count="2">
        <level uniqueName="[Hospital Emergency Room Data].[Patient Race].[(All)]" sourceCaption="(All)" count="0"/>
        <level uniqueName="[Hospital Emergency Room Data].[Patient Race].[Patient Race]" sourceCaption="Patient Race" count="7">
          <ranges>
            <range startItem="0">
              <i n="[Hospital Emergency Room Data].[Patient Race].&amp;[African American]" c="African American"/>
              <i n="[Hospital Emergency Room Data].[Patient Race].&amp;[Asian]" c="Asian"/>
              <i n="[Hospital Emergency Room Data].[Patient Race].&amp;[Declined to Identify]" c="Declined to Identify"/>
              <i n="[Hospital Emergency Room Data].[Patient Race].&amp;[Native American/Alaska Native]" c="Native American/Alaska Native"/>
              <i n="[Hospital Emergency Room Data].[Patient Race].&amp;[Pacific Islander]" c="Pacific Islander"/>
              <i n="[Hospital Emergency Room Data].[Patient Race].&amp;[Two or More Races]" c="Two or More Races"/>
              <i n="[Hospital Emergency Room Data].[Patient Race].&amp;[White]" c="White"/>
            </range>
          </ranges>
        </level>
      </levels>
      <selections count="1">
        <selection n="[Hospital Emergency Room Data].[Patient Rac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922FD2C9-4462-45E2-98F7-1CAAE8C625E1}" cache="Slicer_Date__Month" caption="Date (Month)" showCaption="0" level="1" style="SlicerStyleLight1 2 2" rowHeight="241300"/>
  <slicer name="Date (Year)" xr10:uid="{63260B19-538E-43D3-A986-C1EF9002D29C}" cache="Slicer_Date__Year" caption="Date (Year)" columnCount="2" showCaption="0" level="1" style="SlicerStyleLight1 2" rowHeight="252000"/>
  <slicer name="Patient Race" xr10:uid="{A79FF663-22C8-4FFA-A225-87A1520408AA}" cache="Slicer_Patient_Race" caption="Patient Race" columnCount="2" showCaption="0" level="1" style="SlicerStyleLight1 2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3739E-E60E-47CB-984A-C6F50BA48799}">
  <dimension ref="A3:J74"/>
  <sheetViews>
    <sheetView tabSelected="1" zoomScaleNormal="100" workbookViewId="0">
      <selection activeCell="B16" sqref="B16"/>
    </sheetView>
  </sheetViews>
  <sheetFormatPr defaultRowHeight="15" x14ac:dyDescent="0.25"/>
  <cols>
    <col min="1" max="1" width="26.42578125" customWidth="1"/>
    <col min="2" max="2" width="20.85546875" customWidth="1"/>
    <col min="3" max="3" width="25.85546875" customWidth="1"/>
    <col min="4" max="4" width="18.140625" customWidth="1"/>
    <col min="5" max="5" width="19.28515625" bestFit="1" customWidth="1"/>
    <col min="6" max="6" width="13.140625" bestFit="1" customWidth="1"/>
    <col min="7" max="7" width="25.140625" bestFit="1" customWidth="1"/>
    <col min="9" max="9" width="13.140625" bestFit="1" customWidth="1"/>
    <col min="10" max="10" width="34.28515625" bestFit="1" customWidth="1"/>
  </cols>
  <sheetData>
    <row r="3" spans="1:10" x14ac:dyDescent="0.25">
      <c r="A3" t="s">
        <v>1</v>
      </c>
    </row>
    <row r="4" spans="1:10" x14ac:dyDescent="0.25">
      <c r="A4" t="s">
        <v>0</v>
      </c>
      <c r="C4" s="1" t="s">
        <v>5</v>
      </c>
      <c r="D4" t="s">
        <v>0</v>
      </c>
      <c r="F4" s="1" t="s">
        <v>5</v>
      </c>
      <c r="G4" t="s">
        <v>3</v>
      </c>
      <c r="I4" s="1" t="s">
        <v>5</v>
      </c>
      <c r="J4" t="s">
        <v>4</v>
      </c>
    </row>
    <row r="5" spans="1:10" x14ac:dyDescent="0.25">
      <c r="A5" s="5">
        <v>513</v>
      </c>
      <c r="C5" s="6" t="s">
        <v>46</v>
      </c>
      <c r="D5" s="5">
        <v>19</v>
      </c>
      <c r="F5" s="6" t="s">
        <v>46</v>
      </c>
      <c r="G5" s="7">
        <v>37.789473684210527</v>
      </c>
      <c r="I5" s="6" t="s">
        <v>46</v>
      </c>
      <c r="J5" s="7">
        <v>6.666666666666667</v>
      </c>
    </row>
    <row r="6" spans="1:10" x14ac:dyDescent="0.25">
      <c r="C6" s="6" t="s">
        <v>47</v>
      </c>
      <c r="D6" s="5">
        <v>14</v>
      </c>
      <c r="F6" s="6" t="s">
        <v>47</v>
      </c>
      <c r="G6" s="7">
        <v>38.214285714285715</v>
      </c>
      <c r="I6" s="6" t="s">
        <v>47</v>
      </c>
      <c r="J6" s="7">
        <v>3.5</v>
      </c>
    </row>
    <row r="7" spans="1:10" x14ac:dyDescent="0.25">
      <c r="C7" s="6" t="s">
        <v>48</v>
      </c>
      <c r="D7" s="5">
        <v>13</v>
      </c>
      <c r="F7" s="6" t="s">
        <v>48</v>
      </c>
      <c r="G7" s="7">
        <v>40.92307692307692</v>
      </c>
      <c r="I7" s="6" t="s">
        <v>48</v>
      </c>
      <c r="J7" s="7">
        <v>4.5</v>
      </c>
    </row>
    <row r="8" spans="1:10" x14ac:dyDescent="0.25">
      <c r="A8" t="s">
        <v>3</v>
      </c>
      <c r="C8" s="6" t="s">
        <v>49</v>
      </c>
      <c r="D8" s="5">
        <v>22</v>
      </c>
      <c r="F8" s="6" t="s">
        <v>49</v>
      </c>
      <c r="G8" s="7">
        <v>34.5</v>
      </c>
      <c r="I8" s="6" t="s">
        <v>49</v>
      </c>
      <c r="J8" s="7">
        <v>4.8</v>
      </c>
    </row>
    <row r="9" spans="1:10" x14ac:dyDescent="0.25">
      <c r="A9" s="2">
        <v>36.323586744639378</v>
      </c>
      <c r="C9" s="6" t="s">
        <v>50</v>
      </c>
      <c r="D9" s="5">
        <v>19</v>
      </c>
      <c r="F9" s="6" t="s">
        <v>50</v>
      </c>
      <c r="G9" s="7">
        <v>30.684210526315791</v>
      </c>
      <c r="I9" s="6" t="s">
        <v>50</v>
      </c>
      <c r="J9" s="7">
        <v>7.75</v>
      </c>
    </row>
    <row r="10" spans="1:10" x14ac:dyDescent="0.25">
      <c r="C10" s="6" t="s">
        <v>51</v>
      </c>
      <c r="D10" s="5">
        <v>15</v>
      </c>
      <c r="F10" s="6" t="s">
        <v>51</v>
      </c>
      <c r="G10" s="7">
        <v>37.666666666666664</v>
      </c>
      <c r="I10" s="6" t="s">
        <v>51</v>
      </c>
      <c r="J10" s="7">
        <v>6.2</v>
      </c>
    </row>
    <row r="11" spans="1:10" x14ac:dyDescent="0.25">
      <c r="C11" s="6" t="s">
        <v>52</v>
      </c>
      <c r="D11" s="5">
        <v>12</v>
      </c>
      <c r="F11" s="6" t="s">
        <v>52</v>
      </c>
      <c r="G11" s="7">
        <v>36.083333333333336</v>
      </c>
      <c r="I11" s="6" t="s">
        <v>52</v>
      </c>
      <c r="J11" s="7">
        <v>3.75</v>
      </c>
    </row>
    <row r="12" spans="1:10" x14ac:dyDescent="0.25">
      <c r="A12" t="s">
        <v>4</v>
      </c>
      <c r="C12" s="6" t="s">
        <v>53</v>
      </c>
      <c r="D12" s="5">
        <v>21</v>
      </c>
      <c r="F12" s="6" t="s">
        <v>53</v>
      </c>
      <c r="G12" s="7">
        <v>43.523809523809526</v>
      </c>
      <c r="I12" s="6" t="s">
        <v>53</v>
      </c>
      <c r="J12" s="7">
        <v>6.5</v>
      </c>
    </row>
    <row r="13" spans="1:10" x14ac:dyDescent="0.25">
      <c r="A13" s="2">
        <v>4.9591836734693882</v>
      </c>
      <c r="C13" s="6" t="s">
        <v>54</v>
      </c>
      <c r="D13" s="5">
        <v>12</v>
      </c>
      <c r="F13" s="6" t="s">
        <v>54</v>
      </c>
      <c r="G13" s="7">
        <v>29.5</v>
      </c>
      <c r="I13" s="6" t="s">
        <v>54</v>
      </c>
      <c r="J13" s="7">
        <v>3</v>
      </c>
    </row>
    <row r="14" spans="1:10" x14ac:dyDescent="0.25">
      <c r="C14" s="6" t="s">
        <v>55</v>
      </c>
      <c r="D14" s="5">
        <v>13</v>
      </c>
      <c r="F14" s="6" t="s">
        <v>55</v>
      </c>
      <c r="G14" s="7">
        <v>38.07692307692308</v>
      </c>
      <c r="I14" s="6" t="s">
        <v>55</v>
      </c>
      <c r="J14" s="7">
        <v>4.5</v>
      </c>
    </row>
    <row r="15" spans="1:10" x14ac:dyDescent="0.25">
      <c r="C15" s="6" t="s">
        <v>56</v>
      </c>
      <c r="D15" s="5">
        <v>13</v>
      </c>
      <c r="F15" s="6" t="s">
        <v>56</v>
      </c>
      <c r="G15" s="7">
        <v>35.846153846153847</v>
      </c>
      <c r="I15" s="6" t="s">
        <v>56</v>
      </c>
      <c r="J15" s="7">
        <v>6</v>
      </c>
    </row>
    <row r="16" spans="1:10" x14ac:dyDescent="0.25">
      <c r="C16" s="6" t="s">
        <v>57</v>
      </c>
      <c r="D16" s="5">
        <v>16</v>
      </c>
      <c r="F16" s="6" t="s">
        <v>57</v>
      </c>
      <c r="G16" s="7">
        <v>32.625</v>
      </c>
      <c r="I16" s="6" t="s">
        <v>57</v>
      </c>
      <c r="J16" s="7">
        <v>5.2</v>
      </c>
    </row>
    <row r="17" spans="3:10" x14ac:dyDescent="0.25">
      <c r="C17" s="6" t="s">
        <v>58</v>
      </c>
      <c r="D17" s="5">
        <v>20</v>
      </c>
      <c r="F17" s="6" t="s">
        <v>58</v>
      </c>
      <c r="G17" s="7">
        <v>39.200000000000003</v>
      </c>
      <c r="I17" s="6" t="s">
        <v>58</v>
      </c>
      <c r="J17" s="7">
        <v>4.4000000000000004</v>
      </c>
    </row>
    <row r="18" spans="3:10" x14ac:dyDescent="0.25">
      <c r="C18" s="6" t="s">
        <v>59</v>
      </c>
      <c r="D18" s="5">
        <v>25</v>
      </c>
      <c r="F18" s="6" t="s">
        <v>59</v>
      </c>
      <c r="G18" s="7">
        <v>35.28</v>
      </c>
      <c r="I18" s="6" t="s">
        <v>59</v>
      </c>
      <c r="J18" s="7">
        <v>3.4545454545454546</v>
      </c>
    </row>
    <row r="19" spans="3:10" x14ac:dyDescent="0.25">
      <c r="C19" s="6" t="s">
        <v>60</v>
      </c>
      <c r="D19" s="5">
        <v>20</v>
      </c>
      <c r="F19" s="6" t="s">
        <v>60</v>
      </c>
      <c r="G19" s="7">
        <v>32.549999999999997</v>
      </c>
      <c r="I19" s="6" t="s">
        <v>60</v>
      </c>
      <c r="J19" s="7">
        <v>4.4000000000000004</v>
      </c>
    </row>
    <row r="20" spans="3:10" x14ac:dyDescent="0.25">
      <c r="C20" s="6" t="s">
        <v>61</v>
      </c>
      <c r="D20" s="5">
        <v>14</v>
      </c>
      <c r="F20" s="6" t="s">
        <v>61</v>
      </c>
      <c r="G20" s="7">
        <v>35.642857142857146</v>
      </c>
      <c r="I20" s="6" t="s">
        <v>61</v>
      </c>
      <c r="J20" s="7">
        <v>5.833333333333333</v>
      </c>
    </row>
    <row r="21" spans="3:10" x14ac:dyDescent="0.25">
      <c r="C21" s="6" t="s">
        <v>62</v>
      </c>
      <c r="D21" s="5">
        <v>17</v>
      </c>
      <c r="F21" s="6" t="s">
        <v>62</v>
      </c>
      <c r="G21" s="7">
        <v>38.764705882352942</v>
      </c>
      <c r="I21" s="6" t="s">
        <v>62</v>
      </c>
      <c r="J21" s="7">
        <v>4.4444444444444446</v>
      </c>
    </row>
    <row r="22" spans="3:10" x14ac:dyDescent="0.25">
      <c r="C22" s="6" t="s">
        <v>63</v>
      </c>
      <c r="D22" s="5">
        <v>20</v>
      </c>
      <c r="F22" s="6" t="s">
        <v>63</v>
      </c>
      <c r="G22" s="7">
        <v>39.9</v>
      </c>
      <c r="I22" s="6" t="s">
        <v>63</v>
      </c>
      <c r="J22" s="7">
        <v>5.333333333333333</v>
      </c>
    </row>
    <row r="23" spans="3:10" x14ac:dyDescent="0.25">
      <c r="C23" s="6" t="s">
        <v>64</v>
      </c>
      <c r="D23" s="5">
        <v>10</v>
      </c>
      <c r="F23" s="6" t="s">
        <v>64</v>
      </c>
      <c r="G23" s="7">
        <v>41.6</v>
      </c>
      <c r="I23" s="6" t="s">
        <v>64</v>
      </c>
      <c r="J23" s="7">
        <v>5.333333333333333</v>
      </c>
    </row>
    <row r="24" spans="3:10" x14ac:dyDescent="0.25">
      <c r="C24" s="6" t="s">
        <v>65</v>
      </c>
      <c r="D24" s="5">
        <v>17</v>
      </c>
      <c r="F24" s="6" t="s">
        <v>65</v>
      </c>
      <c r="G24" s="7">
        <v>39.470588235294116</v>
      </c>
      <c r="I24" s="6" t="s">
        <v>65</v>
      </c>
      <c r="J24" s="7">
        <v>5.5714285714285712</v>
      </c>
    </row>
    <row r="25" spans="3:10" x14ac:dyDescent="0.25">
      <c r="C25" s="6" t="s">
        <v>66</v>
      </c>
      <c r="D25" s="5">
        <v>15</v>
      </c>
      <c r="F25" s="6" t="s">
        <v>66</v>
      </c>
      <c r="G25" s="7">
        <v>27.733333333333334</v>
      </c>
      <c r="I25" s="6" t="s">
        <v>66</v>
      </c>
      <c r="J25" s="7">
        <v>5</v>
      </c>
    </row>
    <row r="26" spans="3:10" x14ac:dyDescent="0.25">
      <c r="C26" s="6" t="s">
        <v>67</v>
      </c>
      <c r="D26" s="5">
        <v>16</v>
      </c>
      <c r="F26" s="6" t="s">
        <v>67</v>
      </c>
      <c r="G26" s="7">
        <v>36.875</v>
      </c>
      <c r="I26" s="6" t="s">
        <v>67</v>
      </c>
      <c r="J26" s="7">
        <v>6.4</v>
      </c>
    </row>
    <row r="27" spans="3:10" x14ac:dyDescent="0.25">
      <c r="C27" s="6" t="s">
        <v>68</v>
      </c>
      <c r="D27" s="5">
        <v>18</v>
      </c>
      <c r="F27" s="6" t="s">
        <v>68</v>
      </c>
      <c r="G27" s="7">
        <v>40.333333333333336</v>
      </c>
      <c r="I27" s="6" t="s">
        <v>68</v>
      </c>
      <c r="J27" s="7">
        <v>5.333333333333333</v>
      </c>
    </row>
    <row r="28" spans="3:10" x14ac:dyDescent="0.25">
      <c r="C28" s="6" t="s">
        <v>69</v>
      </c>
      <c r="D28" s="5">
        <v>16</v>
      </c>
      <c r="F28" s="6" t="s">
        <v>69</v>
      </c>
      <c r="G28" s="7">
        <v>36.5</v>
      </c>
      <c r="I28" s="6" t="s">
        <v>69</v>
      </c>
      <c r="J28" s="7">
        <v>3.75</v>
      </c>
    </row>
    <row r="29" spans="3:10" x14ac:dyDescent="0.25">
      <c r="C29" s="6" t="s">
        <v>70</v>
      </c>
      <c r="D29" s="5">
        <v>15</v>
      </c>
      <c r="F29" s="6" t="s">
        <v>70</v>
      </c>
      <c r="G29" s="7">
        <v>32.866666666666667</v>
      </c>
      <c r="I29" s="6" t="s">
        <v>70</v>
      </c>
      <c r="J29" s="7">
        <v>6.333333333333333</v>
      </c>
    </row>
    <row r="30" spans="3:10" x14ac:dyDescent="0.25">
      <c r="C30" s="6" t="s">
        <v>71</v>
      </c>
      <c r="D30" s="5">
        <v>14</v>
      </c>
      <c r="F30" s="6" t="s">
        <v>71</v>
      </c>
      <c r="G30" s="7">
        <v>36.642857142857146</v>
      </c>
      <c r="I30" s="6" t="s">
        <v>71</v>
      </c>
      <c r="J30" s="7">
        <v>10</v>
      </c>
    </row>
    <row r="31" spans="3:10" x14ac:dyDescent="0.25">
      <c r="C31" s="6" t="s">
        <v>72</v>
      </c>
      <c r="D31" s="5">
        <v>16</v>
      </c>
      <c r="F31" s="6" t="s">
        <v>72</v>
      </c>
      <c r="G31" s="7">
        <v>36.5625</v>
      </c>
      <c r="I31" s="6" t="s">
        <v>72</v>
      </c>
      <c r="J31" s="7">
        <v>5</v>
      </c>
    </row>
    <row r="32" spans="3:10" x14ac:dyDescent="0.25">
      <c r="C32" s="6" t="s">
        <v>73</v>
      </c>
      <c r="D32" s="5">
        <v>20</v>
      </c>
      <c r="F32" s="6" t="s">
        <v>73</v>
      </c>
      <c r="G32" s="7">
        <v>32.15</v>
      </c>
      <c r="I32" s="6" t="s">
        <v>73</v>
      </c>
      <c r="J32" s="7">
        <v>5.333333333333333</v>
      </c>
    </row>
    <row r="33" spans="1:10" x14ac:dyDescent="0.25">
      <c r="C33" s="6" t="s">
        <v>74</v>
      </c>
      <c r="D33" s="5">
        <v>19</v>
      </c>
      <c r="F33" s="6" t="s">
        <v>74</v>
      </c>
      <c r="G33" s="7">
        <v>38.368421052631582</v>
      </c>
      <c r="I33" s="6" t="s">
        <v>74</v>
      </c>
      <c r="J33" s="7">
        <v>4.8</v>
      </c>
    </row>
    <row r="34" spans="1:10" x14ac:dyDescent="0.25">
      <c r="C34" s="6" t="s">
        <v>75</v>
      </c>
      <c r="D34" s="5">
        <v>14</v>
      </c>
      <c r="F34" s="6" t="s">
        <v>75</v>
      </c>
      <c r="G34" s="7">
        <v>33.071428571428569</v>
      </c>
      <c r="I34" s="6" t="s">
        <v>75</v>
      </c>
      <c r="J34" s="7">
        <v>5</v>
      </c>
    </row>
    <row r="35" spans="1:10" x14ac:dyDescent="0.25">
      <c r="C35" s="6" t="s">
        <v>76</v>
      </c>
      <c r="D35" s="5">
        <v>18</v>
      </c>
      <c r="F35" s="6" t="s">
        <v>76</v>
      </c>
      <c r="G35" s="7">
        <v>36.444444444444443</v>
      </c>
      <c r="I35" s="6" t="s">
        <v>76</v>
      </c>
      <c r="J35" s="7">
        <v>1.4</v>
      </c>
    </row>
    <row r="36" spans="1:10" x14ac:dyDescent="0.25">
      <c r="C36" s="6" t="s">
        <v>2</v>
      </c>
      <c r="D36" s="5">
        <v>513</v>
      </c>
      <c r="F36" s="6" t="s">
        <v>2</v>
      </c>
      <c r="G36" s="7">
        <v>36.323586744639378</v>
      </c>
      <c r="I36" s="6" t="s">
        <v>2</v>
      </c>
      <c r="J36" s="7">
        <v>4.9591836734693882</v>
      </c>
    </row>
    <row r="39" spans="1:10" x14ac:dyDescent="0.25">
      <c r="A39" s="1" t="s">
        <v>5</v>
      </c>
      <c r="B39" t="s">
        <v>6</v>
      </c>
      <c r="C39" t="s">
        <v>9</v>
      </c>
    </row>
    <row r="40" spans="1:10" x14ac:dyDescent="0.25">
      <c r="A40" s="6" t="s">
        <v>7</v>
      </c>
      <c r="B40" s="2">
        <v>269</v>
      </c>
      <c r="C40" s="9">
        <v>0.52436647173489281</v>
      </c>
    </row>
    <row r="41" spans="1:10" x14ac:dyDescent="0.25">
      <c r="A41" s="6" t="s">
        <v>8</v>
      </c>
      <c r="B41" s="2">
        <v>244</v>
      </c>
      <c r="C41" s="9">
        <v>0.47563352826510719</v>
      </c>
    </row>
    <row r="46" spans="1:10" x14ac:dyDescent="0.25">
      <c r="A46" s="11" t="s">
        <v>10</v>
      </c>
      <c r="B46" s="11" t="s">
        <v>11</v>
      </c>
      <c r="C46" s="11" t="s">
        <v>12</v>
      </c>
      <c r="D46" s="10"/>
    </row>
    <row r="47" spans="1:10" x14ac:dyDescent="0.25">
      <c r="A47" t="str">
        <f>A41</f>
        <v>Not Admitted</v>
      </c>
      <c r="B47">
        <f t="shared" ref="B47:C47" si="0">B41</f>
        <v>244</v>
      </c>
      <c r="C47" s="9">
        <f t="shared" si="0"/>
        <v>0.47563352826510719</v>
      </c>
    </row>
    <row r="48" spans="1:10" x14ac:dyDescent="0.25">
      <c r="A48" t="str">
        <f>A40</f>
        <v>Admitted</v>
      </c>
      <c r="B48">
        <f>B40</f>
        <v>269</v>
      </c>
      <c r="C48" s="9">
        <f>C40</f>
        <v>0.52436647173489281</v>
      </c>
    </row>
    <row r="51" spans="1:5" x14ac:dyDescent="0.25">
      <c r="A51" s="1" t="s">
        <v>5</v>
      </c>
      <c r="B51" t="s">
        <v>21</v>
      </c>
      <c r="D51" s="1" t="s">
        <v>5</v>
      </c>
      <c r="E51" t="s">
        <v>24</v>
      </c>
    </row>
    <row r="52" spans="1:5" x14ac:dyDescent="0.25">
      <c r="A52" s="6" t="s">
        <v>13</v>
      </c>
      <c r="B52" s="12">
        <v>76</v>
      </c>
      <c r="D52" s="6" t="s">
        <v>22</v>
      </c>
      <c r="E52" s="12">
        <v>316</v>
      </c>
    </row>
    <row r="53" spans="1:5" x14ac:dyDescent="0.25">
      <c r="A53" s="6" t="s">
        <v>14</v>
      </c>
      <c r="B53" s="12">
        <v>69</v>
      </c>
      <c r="D53" s="6" t="s">
        <v>23</v>
      </c>
      <c r="E53" s="12">
        <v>197</v>
      </c>
    </row>
    <row r="54" spans="1:5" x14ac:dyDescent="0.25">
      <c r="A54" s="6" t="s">
        <v>15</v>
      </c>
      <c r="B54" s="12">
        <v>64</v>
      </c>
    </row>
    <row r="55" spans="1:5" x14ac:dyDescent="0.25">
      <c r="A55" s="6" t="s">
        <v>16</v>
      </c>
      <c r="B55" s="12">
        <v>59</v>
      </c>
    </row>
    <row r="56" spans="1:5" x14ac:dyDescent="0.25">
      <c r="A56" s="6" t="s">
        <v>17</v>
      </c>
      <c r="B56" s="12">
        <v>58</v>
      </c>
      <c r="D56" s="1" t="s">
        <v>5</v>
      </c>
      <c r="E56" t="s">
        <v>27</v>
      </c>
    </row>
    <row r="57" spans="1:5" x14ac:dyDescent="0.25">
      <c r="A57" s="6" t="s">
        <v>18</v>
      </c>
      <c r="B57" s="12">
        <v>66</v>
      </c>
      <c r="D57" s="6" t="s">
        <v>25</v>
      </c>
      <c r="E57" s="12">
        <v>241</v>
      </c>
    </row>
    <row r="58" spans="1:5" x14ac:dyDescent="0.25">
      <c r="A58" s="6" t="s">
        <v>19</v>
      </c>
      <c r="B58" s="12">
        <v>67</v>
      </c>
      <c r="D58" s="6" t="s">
        <v>26</v>
      </c>
      <c r="E58" s="12">
        <v>272</v>
      </c>
    </row>
    <row r="59" spans="1:5" x14ac:dyDescent="0.25">
      <c r="A59" s="6" t="s">
        <v>20</v>
      </c>
      <c r="B59" s="12">
        <v>54</v>
      </c>
    </row>
    <row r="61" spans="1:5" x14ac:dyDescent="0.25">
      <c r="D61" s="1" t="s">
        <v>5</v>
      </c>
      <c r="E61" t="s">
        <v>36</v>
      </c>
    </row>
    <row r="62" spans="1:5" x14ac:dyDescent="0.25">
      <c r="A62" s="1" t="s">
        <v>5</v>
      </c>
      <c r="D62" s="6" t="s">
        <v>28</v>
      </c>
      <c r="E62" s="12">
        <v>14</v>
      </c>
    </row>
    <row r="63" spans="1:5" x14ac:dyDescent="0.25">
      <c r="A63" s="6" t="s">
        <v>37</v>
      </c>
      <c r="D63" s="6" t="s">
        <v>29</v>
      </c>
      <c r="E63" s="12">
        <v>4</v>
      </c>
    </row>
    <row r="64" spans="1:5" x14ac:dyDescent="0.25">
      <c r="A64" s="6" t="s">
        <v>38</v>
      </c>
      <c r="D64" s="6" t="s">
        <v>30</v>
      </c>
      <c r="E64" s="12">
        <v>103</v>
      </c>
    </row>
    <row r="65" spans="1:5" x14ac:dyDescent="0.25">
      <c r="D65" s="6" t="s">
        <v>31</v>
      </c>
      <c r="E65" s="12">
        <v>9</v>
      </c>
    </row>
    <row r="66" spans="1:5" x14ac:dyDescent="0.25">
      <c r="D66" s="6" t="s">
        <v>32</v>
      </c>
      <c r="E66" s="12">
        <v>299</v>
      </c>
    </row>
    <row r="67" spans="1:5" x14ac:dyDescent="0.25">
      <c r="A67" s="1" t="s">
        <v>5</v>
      </c>
      <c r="D67" s="6" t="s">
        <v>33</v>
      </c>
      <c r="E67" s="12">
        <v>65</v>
      </c>
    </row>
    <row r="68" spans="1:5" x14ac:dyDescent="0.25">
      <c r="A68" s="6" t="s">
        <v>39</v>
      </c>
      <c r="D68" s="6" t="s">
        <v>34</v>
      </c>
      <c r="E68" s="12">
        <v>14</v>
      </c>
    </row>
    <row r="69" spans="1:5" x14ac:dyDescent="0.25">
      <c r="A69" s="6" t="s">
        <v>40</v>
      </c>
      <c r="D69" s="6" t="s">
        <v>35</v>
      </c>
      <c r="E69" s="12">
        <v>5</v>
      </c>
    </row>
    <row r="70" spans="1:5" x14ac:dyDescent="0.25">
      <c r="A70" s="6" t="s">
        <v>41</v>
      </c>
    </row>
    <row r="71" spans="1:5" x14ac:dyDescent="0.25">
      <c r="A71" s="6" t="s">
        <v>42</v>
      </c>
    </row>
    <row r="72" spans="1:5" x14ac:dyDescent="0.25">
      <c r="A72" s="6" t="s">
        <v>43</v>
      </c>
    </row>
    <row r="73" spans="1:5" x14ac:dyDescent="0.25">
      <c r="A73" s="6" t="s">
        <v>44</v>
      </c>
    </row>
    <row r="74" spans="1:5" x14ac:dyDescent="0.25">
      <c r="A74" s="6" t="s">
        <v>45</v>
      </c>
    </row>
  </sheetData>
  <pageMargins left="0.7" right="0.7" top="0.75" bottom="0.75" header="0.3" footer="0.3"/>
  <pageSetup orientation="portrait" horizontalDpi="360" verticalDpi="360" r:id="rId14"/>
  <drawing r:id="rId1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07705-96EC-46BD-AC17-12DDDC961053}">
  <dimension ref="A1"/>
  <sheetViews>
    <sheetView showGridLines="0" showRowColHeaders="0" zoomScaleNormal="100" workbookViewId="0">
      <selection activeCell="U24" sqref="U24"/>
    </sheetView>
  </sheetViews>
  <sheetFormatPr defaultRowHeight="15" x14ac:dyDescent="0.25"/>
  <cols>
    <col min="1" max="16384" width="9.140625" style="4"/>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6CAEF-AED4-4EFB-8366-DCE74614A948}">
  <dimension ref="A1"/>
  <sheetViews>
    <sheetView showGridLines="0" showRowColHeaders="0" workbookViewId="0"/>
  </sheetViews>
  <sheetFormatPr defaultRowHeight="15" x14ac:dyDescent="0.25"/>
  <cols>
    <col min="1" max="16384" width="9.140625" style="3"/>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EC556-4A7A-45CF-9D4B-5C06DEDD94F0}">
  <dimension ref="A1"/>
  <sheetViews>
    <sheetView showGridLines="0" showRowColHeaders="0" zoomScale="91" zoomScaleNormal="91" workbookViewId="0"/>
  </sheetViews>
  <sheetFormatPr defaultRowHeight="15" x14ac:dyDescent="0.25"/>
  <cols>
    <col min="1" max="16384" width="9.140625" style="8"/>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C6CEA-8A7B-4C48-9EA7-E38C40240DD1}">
  <dimension ref="A1"/>
  <sheetViews>
    <sheetView showGridLines="0" showRowColHeaders="0" workbookViewId="0">
      <selection activeCell="P10" sqref="P10"/>
    </sheetView>
  </sheetViews>
  <sheetFormatPr defaultRowHeight="15" x14ac:dyDescent="0.25"/>
  <cols>
    <col min="1" max="16384" width="9.140625" style="3"/>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25A6C44A-96DB-47C7-837A-CB90D48AA4D6}">
  <ds:schemaRefs/>
</ds:datastoreItem>
</file>

<file path=customXml/itemProps2.xml><?xml version="1.0" encoding="utf-8"?>
<ds:datastoreItem xmlns:ds="http://schemas.openxmlformats.org/officeDocument/2006/customXml" ds:itemID="{3369F702-4983-4877-82FE-2A574ECE3DFA}">
  <ds:schemaRefs/>
</ds:datastoreItem>
</file>

<file path=customXml/itemProps3.xml><?xml version="1.0" encoding="utf-8"?>
<ds:datastoreItem xmlns:ds="http://schemas.openxmlformats.org/officeDocument/2006/customXml" ds:itemID="{AAC33E47-565D-4EAA-BD05-3CF2F6366D47}">
  <ds:schemaRefs/>
</ds:datastoreItem>
</file>

<file path=customXml/itemProps4.xml><?xml version="1.0" encoding="utf-8"?>
<ds:datastoreItem xmlns:ds="http://schemas.openxmlformats.org/officeDocument/2006/customXml" ds:itemID="{72627D2F-E144-4B9F-9626-6B6E779C2D5B}">
  <ds:schemaRefs/>
</ds:datastoreItem>
</file>

<file path=customXml/itemProps5.xml><?xml version="1.0" encoding="utf-8"?>
<ds:datastoreItem xmlns:ds="http://schemas.openxmlformats.org/officeDocument/2006/customXml" ds:itemID="{2F6F480B-C3F6-4CAD-960D-4D9FDA96E75B}">
  <ds:schemaRefs/>
</ds:datastoreItem>
</file>

<file path=customXml/itemProps6.xml><?xml version="1.0" encoding="utf-8"?>
<ds:datastoreItem xmlns:ds="http://schemas.openxmlformats.org/officeDocument/2006/customXml" ds:itemID="{C1D70FFE-6026-4FDF-AC91-92A4EF63E6BD}">
  <ds:schemaRefs/>
</ds:datastoreItem>
</file>

<file path=customXml/itemProps7.xml><?xml version="1.0" encoding="utf-8"?>
<ds:datastoreItem xmlns:ds="http://schemas.openxmlformats.org/officeDocument/2006/customXml" ds:itemID="{B4B77677-2746-4EBE-BEE5-198609B48FF6}">
  <ds:schemaRefs/>
</ds:datastoreItem>
</file>

<file path=customXml/itemProps8.xml><?xml version="1.0" encoding="utf-8"?>
<ds:datastoreItem xmlns:ds="http://schemas.openxmlformats.org/officeDocument/2006/customXml" ds:itemID="{7B01C286-27F6-4783-9D34-5C846798A6CE}">
  <ds:schemaRefs/>
</ds:datastoreItem>
</file>

<file path=customXml/itemProps9.xml><?xml version="1.0" encoding="utf-8"?>
<ds:datastoreItem xmlns:ds="http://schemas.openxmlformats.org/officeDocument/2006/customXml" ds:itemID="{6BF9B20B-C64E-4618-90B0-B2BEC6343571}">
  <ds:schemaRefs/>
</ds:datastoreItem>
</file>

<file path=customXml/itemProps10.xml><?xml version="1.0" encoding="utf-8"?>
<ds:datastoreItem xmlns:ds="http://schemas.openxmlformats.org/officeDocument/2006/customXml" ds:itemID="{FEF5069A-C654-4411-B1BD-E41CA06A81E8}">
  <ds:schemaRefs/>
</ds:datastoreItem>
</file>

<file path=customXml/itemProps11.xml><?xml version="1.0" encoding="utf-8"?>
<ds:datastoreItem xmlns:ds="http://schemas.openxmlformats.org/officeDocument/2006/customXml" ds:itemID="{3D5198A7-0ADC-4DCE-8B8C-9E9F4E3AE75C}">
  <ds:schemaRefs/>
</ds:datastoreItem>
</file>

<file path=customXml/itemProps12.xml><?xml version="1.0" encoding="utf-8"?>
<ds:datastoreItem xmlns:ds="http://schemas.openxmlformats.org/officeDocument/2006/customXml" ds:itemID="{427C2B12-421E-47DF-9B30-7172A4BDBAE4}">
  <ds:schemaRefs/>
</ds:datastoreItem>
</file>

<file path=customXml/itemProps13.xml><?xml version="1.0" encoding="utf-8"?>
<ds:datastoreItem xmlns:ds="http://schemas.openxmlformats.org/officeDocument/2006/customXml" ds:itemID="{65829A82-0AF9-4D1E-824C-780870E0F0F0}">
  <ds:schemaRefs/>
</ds:datastoreItem>
</file>

<file path=customXml/itemProps14.xml><?xml version="1.0" encoding="utf-8"?>
<ds:datastoreItem xmlns:ds="http://schemas.openxmlformats.org/officeDocument/2006/customXml" ds:itemID="{C5C2B65E-21D2-4250-BE74-7AEF3ABA0C39}">
  <ds:schemaRefs/>
</ds:datastoreItem>
</file>

<file path=customXml/itemProps15.xml><?xml version="1.0" encoding="utf-8"?>
<ds:datastoreItem xmlns:ds="http://schemas.openxmlformats.org/officeDocument/2006/customXml" ds:itemID="{9617035D-1E89-47DE-B092-BA2354BDD5DA}">
  <ds:schemaRefs>
    <ds:schemaRef ds:uri="http://schemas.microsoft.com/DataMashup"/>
  </ds:schemaRefs>
</ds:datastoreItem>
</file>

<file path=customXml/itemProps16.xml><?xml version="1.0" encoding="utf-8"?>
<ds:datastoreItem xmlns:ds="http://schemas.openxmlformats.org/officeDocument/2006/customXml" ds:itemID="{F25F2CB6-8ABE-4896-A235-5FF66C02E846}">
  <ds:schemaRefs/>
</ds:datastoreItem>
</file>

<file path=customXml/itemProps17.xml><?xml version="1.0" encoding="utf-8"?>
<ds:datastoreItem xmlns:ds="http://schemas.openxmlformats.org/officeDocument/2006/customXml" ds:itemID="{C2AC3CE7-AE44-462A-895B-1FA3924A363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NO. of Patient</vt:lpstr>
      <vt:lpstr>Average Wait Time</vt:lpstr>
      <vt:lpstr>Patient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Nikeeta Sharma</dc:creator>
  <cp:lastModifiedBy>Nikeeta Sharma</cp:lastModifiedBy>
  <dcterms:created xsi:type="dcterms:W3CDTF">2026-08-09T03:04:53Z</dcterms:created>
  <dcterms:modified xsi:type="dcterms:W3CDTF">2026-08-10T14:34:23Z</dcterms:modified>
</cp:coreProperties>
</file>